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70A36AC8-C29F-439C-B995-07124F482754}" xr6:coauthVersionLast="46" xr6:coauthVersionMax="46" xr10:uidLastSave="{00000000-0000-0000-0000-000000000000}"/>
  <bookViews>
    <workbookView xWindow="-110" yWindow="-110" windowWidth="19420" windowHeight="10560" xr2:uid="{00000000-000D-0000-FFFF-FFFF00000000}"/>
  </bookViews>
  <sheets>
    <sheet name="i-1" sheetId="1" r:id="rId1"/>
    <sheet name="i-2" sheetId="2" r:id="rId2"/>
  </sheets>
  <calcPr calcId="181029"/>
</workbook>
</file>

<file path=xl/calcChain.xml><?xml version="1.0" encoding="utf-8"?>
<calcChain xmlns="http://schemas.openxmlformats.org/spreadsheetml/2006/main">
  <c r="K111" i="1" l="1"/>
  <c r="J116" i="1"/>
  <c r="H108" i="2"/>
  <c r="H110" i="1"/>
  <c r="I110" i="1" s="1"/>
  <c r="I111" i="1" s="1"/>
  <c r="H138" i="1" s="1"/>
  <c r="D163" i="2"/>
  <c r="E163" i="2"/>
  <c r="F163" i="2"/>
  <c r="G163" i="2"/>
  <c r="H163" i="2"/>
  <c r="I163" i="2"/>
  <c r="C163" i="2"/>
  <c r="G168" i="1"/>
  <c r="F168" i="1"/>
  <c r="D168" i="1"/>
  <c r="C168" i="1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15" i="2"/>
  <c r="H135" i="2" s="1"/>
  <c r="F117" i="1"/>
  <c r="F118" i="1"/>
  <c r="F119" i="1"/>
  <c r="H136" i="1" s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16" i="1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16" i="2"/>
  <c r="C115" i="2"/>
  <c r="I108" i="2"/>
  <c r="I109" i="2" s="1"/>
  <c r="G108" i="2"/>
  <c r="F108" i="2"/>
  <c r="E108" i="2"/>
  <c r="D108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83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5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3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D147" i="1"/>
  <c r="F147" i="1"/>
  <c r="G147" i="1"/>
  <c r="C147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60" i="1"/>
  <c r="J79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60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35" i="1"/>
  <c r="G110" i="1"/>
  <c r="F110" i="1"/>
  <c r="E110" i="1"/>
  <c r="D110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H137" i="2" l="1"/>
  <c r="C79" i="1" l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D60" i="1"/>
  <c r="F6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F101" i="1" l="1"/>
  <c r="F85" i="1"/>
  <c r="C87" i="1"/>
  <c r="C91" i="1"/>
  <c r="C95" i="1"/>
  <c r="C99" i="1"/>
  <c r="C103" i="1"/>
  <c r="C86" i="1"/>
  <c r="C90" i="1"/>
  <c r="C94" i="1"/>
  <c r="C98" i="1"/>
  <c r="C102" i="1"/>
  <c r="F88" i="1"/>
  <c r="C88" i="1"/>
  <c r="C92" i="1"/>
  <c r="C96" i="1"/>
  <c r="C100" i="1"/>
  <c r="C104" i="1"/>
  <c r="F98" i="1"/>
  <c r="C85" i="1"/>
  <c r="C89" i="1"/>
  <c r="C93" i="1"/>
  <c r="C97" i="1"/>
  <c r="C101" i="1"/>
  <c r="F87" i="1"/>
  <c r="F86" i="1"/>
  <c r="F90" i="1"/>
  <c r="F94" i="1"/>
  <c r="F102" i="1"/>
  <c r="F91" i="1"/>
  <c r="F95" i="1"/>
  <c r="F99" i="1"/>
  <c r="F103" i="1"/>
  <c r="F92" i="1"/>
  <c r="F96" i="1"/>
  <c r="F100" i="1"/>
  <c r="F104" i="1"/>
  <c r="F89" i="1"/>
  <c r="F93" i="1"/>
  <c r="F97" i="1"/>
</calcChain>
</file>

<file path=xl/sharedStrings.xml><?xml version="1.0" encoding="utf-8"?>
<sst xmlns="http://schemas.openxmlformats.org/spreadsheetml/2006/main" count="981" uniqueCount="73">
  <si>
    <t>dari 20 data set di ambil dua data sebagau cluster</t>
  </si>
  <si>
    <t>centroid di ambil dari data set nomor 17 dan 19</t>
  </si>
  <si>
    <t>CENTROID AWAL</t>
  </si>
  <si>
    <t>No</t>
  </si>
  <si>
    <t>Nama</t>
  </si>
  <si>
    <t>Data Asli</t>
  </si>
  <si>
    <t>Has lPrediksiProgram</t>
  </si>
  <si>
    <t>Keterangan</t>
  </si>
  <si>
    <t>Terjual</t>
  </si>
  <si>
    <t>Target</t>
  </si>
  <si>
    <t>Klasifikasi</t>
  </si>
  <si>
    <t>Klasifikas i</t>
  </si>
  <si>
    <t>TSX 130</t>
  </si>
  <si>
    <t>Tercapai</t>
  </si>
  <si>
    <t>Tidak Tercapai</t>
  </si>
  <si>
    <t>Tidak Sama</t>
  </si>
  <si>
    <t>TSX 150</t>
  </si>
  <si>
    <t>Sama</t>
  </si>
  <si>
    <t>TSX 300</t>
  </si>
  <si>
    <t>AWH 80</t>
  </si>
  <si>
    <t>Tercapa i</t>
  </si>
  <si>
    <t>AWH 100</t>
  </si>
  <si>
    <t>EWH 30</t>
  </si>
  <si>
    <t>EWH 60</t>
  </si>
  <si>
    <t>EWH 80</t>
  </si>
  <si>
    <t>Tidak Tercacpai</t>
  </si>
  <si>
    <t>AWH80</t>
  </si>
  <si>
    <t>nda k Tercapai</t>
  </si>
  <si>
    <t>ITERASI1 DM2</t>
  </si>
  <si>
    <t>ITERASI1 DM1</t>
  </si>
  <si>
    <t>HASIL</t>
  </si>
  <si>
    <t>PENGHITUNGAN JARAK ANTARA MASING-MASING DATA DENGAN CENTROID</t>
  </si>
  <si>
    <t>Jarak ke Centroid Cluster 1</t>
  </si>
  <si>
    <t>Jarak ke Centroid Cluster 2</t>
  </si>
  <si>
    <t>Jarak Terdekat</t>
  </si>
  <si>
    <t>C2</t>
  </si>
  <si>
    <t>C1</t>
  </si>
  <si>
    <t>PENGHITUNGAN BETWEEN CLUSTER VARIATION</t>
  </si>
  <si>
    <t xml:space="preserve">TOTAL = </t>
  </si>
  <si>
    <t>CENTROID</t>
  </si>
  <si>
    <t>PENGHITUNGAN WCF (WITHIN CLUSTER VARIATION</t>
  </si>
  <si>
    <t>Hasil WCV</t>
  </si>
  <si>
    <t>Hasil Akar</t>
  </si>
  <si>
    <t>TOTAL WCV</t>
  </si>
  <si>
    <t>PENGHITUNGAN TOTAL RASIO BCV / WCV =</t>
  </si>
  <si>
    <t>MEAN :</t>
  </si>
  <si>
    <t>CENTROID BARU</t>
  </si>
  <si>
    <t>Hasil Prediksi Program</t>
  </si>
  <si>
    <t>ITERASI2 DM2</t>
  </si>
  <si>
    <t>CLUSTER 1</t>
  </si>
  <si>
    <t>CLUSTER 2</t>
  </si>
  <si>
    <t>PENENTUAN CLISTER BARU (untuk iterasi 2)</t>
  </si>
  <si>
    <t>3</t>
  </si>
  <si>
    <t>1</t>
  </si>
  <si>
    <t>6</t>
  </si>
  <si>
    <t>8</t>
  </si>
  <si>
    <t>4</t>
  </si>
  <si>
    <t>5</t>
  </si>
  <si>
    <t>7</t>
  </si>
  <si>
    <t>9</t>
  </si>
  <si>
    <t>10</t>
  </si>
  <si>
    <t>11</t>
  </si>
  <si>
    <t>12</t>
  </si>
  <si>
    <t>13</t>
  </si>
  <si>
    <t>14</t>
  </si>
  <si>
    <t>15</t>
  </si>
  <si>
    <t>16</t>
  </si>
  <si>
    <t>2</t>
  </si>
  <si>
    <t>17</t>
  </si>
  <si>
    <t>18</t>
  </si>
  <si>
    <t>19</t>
  </si>
  <si>
    <t>20</t>
  </si>
  <si>
    <t>MEAN: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</si>
</sst>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7" x14ac:knownFonts="1">
    <font>
      <sz val="10"/>
      <color rgb="FF000000"/>
      <name val="Times New Roman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"/>
      <charset val="204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/>
        <bgColor indexed="64"/>
      </patternFill>
    </fill>
  </fills>
  <borders count="151">
    <border>
      <left/>
      <right/>
      <top/>
      <bottom/>
      <diagonal/>
    </border>
    <border>
      <left style="thin">
        <color rgb="FF000000"/>
      </left>
      <right style="thin">
        <color rgb="FF5B5B5B"/>
      </right>
      <top style="thin">
        <color rgb="FF000000"/>
      </top>
      <bottom/>
      <diagonal/>
    </border>
    <border>
      <left style="thin">
        <color rgb="FF000000"/>
      </left>
      <right style="thin">
        <color rgb="FF5B5B5B"/>
      </right>
      <top/>
      <bottom style="thin">
        <color rgb="FF383838"/>
      </bottom>
      <diagonal/>
    </border>
    <border>
      <left style="thin">
        <color rgb="FF5B5B5B"/>
      </left>
      <right style="thin">
        <color rgb="FF5B5B5B"/>
      </right>
      <top style="thin">
        <color rgb="FF000000"/>
      </top>
      <bottom/>
      <diagonal/>
    </border>
    <border>
      <left style="thin">
        <color rgb="FF5B5B5B"/>
      </left>
      <right style="thin">
        <color rgb="FF5B5B5B"/>
      </right>
      <top/>
      <bottom style="thin">
        <color rgb="FF383838"/>
      </bottom>
      <diagonal/>
    </border>
    <border>
      <left style="thin">
        <color rgb="FF5B5B5B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F0F0F"/>
      </right>
      <top style="thin">
        <color rgb="FF000000"/>
      </top>
      <bottom/>
      <diagonal/>
    </border>
    <border>
      <left style="thin">
        <color rgb="FF0F0F0F"/>
      </left>
      <right/>
      <top style="thin">
        <color rgb="FF000000"/>
      </top>
      <bottom/>
      <diagonal/>
    </border>
    <border>
      <left/>
      <right style="thin">
        <color rgb="FF5B5B5B"/>
      </right>
      <top style="thin">
        <color rgb="FF000000"/>
      </top>
      <bottom/>
      <diagonal/>
    </border>
    <border>
      <left style="thin">
        <color rgb="FF5B5B5B"/>
      </left>
      <right style="thin">
        <color rgb="FF000000"/>
      </right>
      <top style="thin">
        <color rgb="FF000000"/>
      </top>
      <bottom/>
      <diagonal/>
    </border>
    <border>
      <left style="thin">
        <color rgb="FF5B5B5B"/>
      </left>
      <right style="thin">
        <color rgb="FF000000"/>
      </right>
      <top/>
      <bottom style="thin">
        <color rgb="FF383838"/>
      </bottom>
      <diagonal/>
    </border>
    <border>
      <left style="thin">
        <color rgb="FF5B5B5B"/>
      </left>
      <right style="thin">
        <color rgb="FF5B5B5B"/>
      </right>
      <top style="thin">
        <color rgb="FF676767"/>
      </top>
      <bottom style="thin">
        <color rgb="FF383838"/>
      </bottom>
      <diagonal/>
    </border>
    <border>
      <left style="thin">
        <color rgb="FF5B5B5B"/>
      </left>
      <right style="thin">
        <color rgb="FF282828"/>
      </right>
      <top style="thin">
        <color rgb="FF676767"/>
      </top>
      <bottom style="thin">
        <color rgb="FF383838"/>
      </bottom>
      <diagonal/>
    </border>
    <border>
      <left style="thin">
        <color rgb="FF282828"/>
      </left>
      <right style="thin">
        <color rgb="FF0F0F0F"/>
      </right>
      <top style="thin">
        <color rgb="FF4B4B4B"/>
      </top>
      <bottom style="thin">
        <color rgb="FF383838"/>
      </bottom>
      <diagonal/>
    </border>
    <border>
      <left style="thin">
        <color rgb="FF0F0F0F"/>
      </left>
      <right style="thin">
        <color rgb="FF1C1C1C"/>
      </right>
      <top style="thin">
        <color rgb="FF0C0C0C"/>
      </top>
      <bottom style="thin">
        <color rgb="FF383838"/>
      </bottom>
      <diagonal/>
    </border>
    <border>
      <left style="thin">
        <color rgb="FF1C1C1C"/>
      </left>
      <right style="thin">
        <color rgb="FF282828"/>
      </right>
      <top style="thin">
        <color rgb="FF383838"/>
      </top>
      <bottom style="thin">
        <color rgb="FF383838"/>
      </bottom>
      <diagonal/>
    </border>
    <border>
      <left style="thin">
        <color rgb="FF282828"/>
      </left>
      <right style="thin">
        <color rgb="FF5B5B5B"/>
      </right>
      <top style="thin">
        <color rgb="FF646464"/>
      </top>
      <bottom style="thin">
        <color rgb="FF383838"/>
      </bottom>
      <diagonal/>
    </border>
    <border>
      <left style="thin">
        <color rgb="FF000000"/>
      </left>
      <right style="thin">
        <color rgb="FF5B5B5B"/>
      </right>
      <top style="thin">
        <color rgb="FF383838"/>
      </top>
      <bottom style="thin">
        <color rgb="FF606060"/>
      </bottom>
      <diagonal/>
    </border>
    <border>
      <left style="thin">
        <color rgb="FF5B5B5B"/>
      </left>
      <right style="thin">
        <color rgb="FF5B5B5B"/>
      </right>
      <top style="thin">
        <color rgb="FF383838"/>
      </top>
      <bottom style="thin">
        <color rgb="FF606060"/>
      </bottom>
      <diagonal/>
    </border>
    <border>
      <left style="thin">
        <color rgb="FF5B5B5B"/>
      </left>
      <right style="thin">
        <color rgb="FF282828"/>
      </right>
      <top style="thin">
        <color rgb="FF383838"/>
      </top>
      <bottom style="thin">
        <color rgb="FF606060"/>
      </bottom>
      <diagonal/>
    </border>
    <border>
      <left style="thin">
        <color rgb="FF282828"/>
      </left>
      <right style="thin">
        <color rgb="FF0F0F0F"/>
      </right>
      <top style="thin">
        <color rgb="FF383838"/>
      </top>
      <bottom style="thin">
        <color rgb="FF606060"/>
      </bottom>
      <diagonal/>
    </border>
    <border>
      <left style="thin">
        <color rgb="FF0F0F0F"/>
      </left>
      <right style="thin">
        <color rgb="FF1C1C1C"/>
      </right>
      <top style="thin">
        <color rgb="FF383838"/>
      </top>
      <bottom style="thin">
        <color rgb="FF606060"/>
      </bottom>
      <diagonal/>
    </border>
    <border>
      <left style="thin">
        <color rgb="FF1C1C1C"/>
      </left>
      <right style="thin">
        <color rgb="FF282828"/>
      </right>
      <top style="thin">
        <color rgb="FF383838"/>
      </top>
      <bottom style="thin">
        <color rgb="FF606060"/>
      </bottom>
      <diagonal/>
    </border>
    <border>
      <left style="thin">
        <color rgb="FF282828"/>
      </left>
      <right style="thin">
        <color rgb="FF5B5B5B"/>
      </right>
      <top style="thin">
        <color rgb="FF383838"/>
      </top>
      <bottom style="thin">
        <color rgb="FF606060"/>
      </bottom>
      <diagonal/>
    </border>
    <border>
      <left style="thin">
        <color rgb="FF5B5B5B"/>
      </left>
      <right style="thin">
        <color rgb="FF000000"/>
      </right>
      <top style="thin">
        <color rgb="FF383838"/>
      </top>
      <bottom style="thin">
        <color rgb="FF606060"/>
      </bottom>
      <diagonal/>
    </border>
    <border>
      <left style="thin">
        <color rgb="FF000000"/>
      </left>
      <right style="thin">
        <color rgb="FF5B5B5B"/>
      </right>
      <top style="thin">
        <color rgb="FF606060"/>
      </top>
      <bottom style="thin">
        <color rgb="FF606060"/>
      </bottom>
      <diagonal/>
    </border>
    <border>
      <left style="thin">
        <color rgb="FF5B5B5B"/>
      </left>
      <right style="thin">
        <color rgb="FF5B5B5B"/>
      </right>
      <top style="thin">
        <color rgb="FF606060"/>
      </top>
      <bottom style="thin">
        <color rgb="FF606060"/>
      </bottom>
      <diagonal/>
    </border>
    <border>
      <left style="thin">
        <color rgb="FF5B5B5B"/>
      </left>
      <right style="thin">
        <color rgb="FF282828"/>
      </right>
      <top style="thin">
        <color rgb="FF606060"/>
      </top>
      <bottom style="thin">
        <color rgb="FF606060"/>
      </bottom>
      <diagonal/>
    </border>
    <border>
      <left style="thin">
        <color rgb="FF282828"/>
      </left>
      <right style="thin">
        <color rgb="FF0F0F0F"/>
      </right>
      <top style="thin">
        <color rgb="FF606060"/>
      </top>
      <bottom style="thin">
        <color rgb="FF606060"/>
      </bottom>
      <diagonal/>
    </border>
    <border>
      <left style="thin">
        <color rgb="FF0F0F0F"/>
      </left>
      <right style="thin">
        <color rgb="FF1C1C1C"/>
      </right>
      <top style="thin">
        <color rgb="FF606060"/>
      </top>
      <bottom style="thin">
        <color rgb="FF606060"/>
      </bottom>
      <diagonal/>
    </border>
    <border>
      <left style="thin">
        <color rgb="FF1C1C1C"/>
      </left>
      <right style="thin">
        <color rgb="FF282828"/>
      </right>
      <top style="thin">
        <color rgb="FF606060"/>
      </top>
      <bottom style="thin">
        <color rgb="FF606060"/>
      </bottom>
      <diagonal/>
    </border>
    <border>
      <left style="thin">
        <color rgb="FF282828"/>
      </left>
      <right style="thin">
        <color rgb="FF5B5B5B"/>
      </right>
      <top style="thin">
        <color rgb="FF606060"/>
      </top>
      <bottom style="thin">
        <color rgb="FF606060"/>
      </bottom>
      <diagonal/>
    </border>
    <border>
      <left style="thin">
        <color rgb="FF5B5B5B"/>
      </left>
      <right style="thin">
        <color rgb="FF000000"/>
      </right>
      <top style="thin">
        <color rgb="FF606060"/>
      </top>
      <bottom style="thin">
        <color rgb="FF606060"/>
      </bottom>
      <diagonal/>
    </border>
    <border>
      <left style="thin">
        <color rgb="FF000000"/>
      </left>
      <right style="thin">
        <color rgb="FF5B5B5B"/>
      </right>
      <top style="thin">
        <color rgb="FF606060"/>
      </top>
      <bottom style="thin">
        <color rgb="FF1F1F1F"/>
      </bottom>
      <diagonal/>
    </border>
    <border>
      <left style="thin">
        <color rgb="FF5B5B5B"/>
      </left>
      <right style="thin">
        <color rgb="FF5B5B5B"/>
      </right>
      <top style="thin">
        <color rgb="FF606060"/>
      </top>
      <bottom style="thin">
        <color rgb="FF1F1F1F"/>
      </bottom>
      <diagonal/>
    </border>
    <border>
      <left style="thin">
        <color rgb="FF5B5B5B"/>
      </left>
      <right style="thin">
        <color rgb="FF282828"/>
      </right>
      <top style="thin">
        <color rgb="FF606060"/>
      </top>
      <bottom style="thin">
        <color rgb="FF1F1F1F"/>
      </bottom>
      <diagonal/>
    </border>
    <border>
      <left style="thin">
        <color rgb="FF282828"/>
      </left>
      <right style="thin">
        <color rgb="FF0F0F0F"/>
      </right>
      <top style="thin">
        <color rgb="FF606060"/>
      </top>
      <bottom style="thin">
        <color rgb="FF1F1F1F"/>
      </bottom>
      <diagonal/>
    </border>
    <border>
      <left style="thin">
        <color rgb="FF0F0F0F"/>
      </left>
      <right style="thin">
        <color rgb="FF1C1C1C"/>
      </right>
      <top style="thin">
        <color rgb="FF606060"/>
      </top>
      <bottom style="thin">
        <color rgb="FF1F1F1F"/>
      </bottom>
      <diagonal/>
    </border>
    <border>
      <left style="thin">
        <color rgb="FF1C1C1C"/>
      </left>
      <right style="thin">
        <color rgb="FF282828"/>
      </right>
      <top style="thin">
        <color rgb="FF606060"/>
      </top>
      <bottom style="thin">
        <color rgb="FF1F1F1F"/>
      </bottom>
      <diagonal/>
    </border>
    <border>
      <left style="thin">
        <color rgb="FF282828"/>
      </left>
      <right style="thin">
        <color rgb="FF5B5B5B"/>
      </right>
      <top style="thin">
        <color rgb="FF606060"/>
      </top>
      <bottom style="thin">
        <color rgb="FF1F1F1F"/>
      </bottom>
      <diagonal/>
    </border>
    <border>
      <left style="thin">
        <color rgb="FF5B5B5B"/>
      </left>
      <right style="thin">
        <color rgb="FF000000"/>
      </right>
      <top style="thin">
        <color rgb="FF606060"/>
      </top>
      <bottom style="thin">
        <color rgb="FF1F1F1F"/>
      </bottom>
      <diagonal/>
    </border>
    <border>
      <left style="thin">
        <color rgb="FF000000"/>
      </left>
      <right style="thin">
        <color rgb="FF5B5B5B"/>
      </right>
      <top style="thin">
        <color rgb="FF1F1F1F"/>
      </top>
      <bottom style="thin">
        <color rgb="FF0F0F0F"/>
      </bottom>
      <diagonal/>
    </border>
    <border>
      <left style="thin">
        <color rgb="FF5B5B5B"/>
      </left>
      <right style="thin">
        <color rgb="FF5B5B5B"/>
      </right>
      <top style="thin">
        <color rgb="FF1F1F1F"/>
      </top>
      <bottom style="thin">
        <color rgb="FF0F0F0F"/>
      </bottom>
      <diagonal/>
    </border>
    <border>
      <left style="thin">
        <color rgb="FF5B5B5B"/>
      </left>
      <right style="thin">
        <color rgb="FF282828"/>
      </right>
      <top style="thin">
        <color rgb="FF1F1F1F"/>
      </top>
      <bottom style="thin">
        <color rgb="FF0F0F0F"/>
      </bottom>
      <diagonal/>
    </border>
    <border>
      <left style="thin">
        <color rgb="FF282828"/>
      </left>
      <right style="thin">
        <color rgb="FF0F0F0F"/>
      </right>
      <top style="thin">
        <color rgb="FF1F1F1F"/>
      </top>
      <bottom style="thin">
        <color rgb="FF0F0F0F"/>
      </bottom>
      <diagonal/>
    </border>
    <border>
      <left style="thin">
        <color rgb="FF0F0F0F"/>
      </left>
      <right style="thin">
        <color rgb="FF1C1C1C"/>
      </right>
      <top style="thin">
        <color rgb="FF1F1F1F"/>
      </top>
      <bottom style="thin">
        <color rgb="FF0F0F0F"/>
      </bottom>
      <diagonal/>
    </border>
    <border>
      <left style="thin">
        <color rgb="FF1C1C1C"/>
      </left>
      <right style="thin">
        <color rgb="FF282828"/>
      </right>
      <top style="thin">
        <color rgb="FF1F1F1F"/>
      </top>
      <bottom style="thin">
        <color rgb="FF0F0F0F"/>
      </bottom>
      <diagonal/>
    </border>
    <border>
      <left style="thin">
        <color rgb="FF282828"/>
      </left>
      <right style="thin">
        <color rgb="FF5B5B5B"/>
      </right>
      <top style="thin">
        <color rgb="FF1F1F1F"/>
      </top>
      <bottom style="thin">
        <color rgb="FF0F0F0F"/>
      </bottom>
      <diagonal/>
    </border>
    <border>
      <left style="thin">
        <color rgb="FF5B5B5B"/>
      </left>
      <right style="thin">
        <color rgb="FF000000"/>
      </right>
      <top style="thin">
        <color rgb="FF1F1F1F"/>
      </top>
      <bottom style="thin">
        <color rgb="FF0F0F0F"/>
      </bottom>
      <diagonal/>
    </border>
    <border>
      <left style="thin">
        <color rgb="FF000000"/>
      </left>
      <right style="thin">
        <color rgb="FF5B5B5B"/>
      </right>
      <top style="thin">
        <color rgb="FF0F0F0F"/>
      </top>
      <bottom style="thin">
        <color rgb="FF080808"/>
      </bottom>
      <diagonal/>
    </border>
    <border>
      <left style="thin">
        <color rgb="FF5B5B5B"/>
      </left>
      <right style="thin">
        <color rgb="FF5B5B5B"/>
      </right>
      <top style="thin">
        <color rgb="FF0F0F0F"/>
      </top>
      <bottom style="thin">
        <color rgb="FF080808"/>
      </bottom>
      <diagonal/>
    </border>
    <border>
      <left style="thin">
        <color rgb="FF5B5B5B"/>
      </left>
      <right style="thin">
        <color rgb="FF282828"/>
      </right>
      <top style="thin">
        <color rgb="FF0F0F0F"/>
      </top>
      <bottom style="thin">
        <color rgb="FF080808"/>
      </bottom>
      <diagonal/>
    </border>
    <border>
      <left style="thin">
        <color rgb="FF282828"/>
      </left>
      <right style="thin">
        <color rgb="FF0F0F0F"/>
      </right>
      <top style="thin">
        <color rgb="FF0F0F0F"/>
      </top>
      <bottom style="thin">
        <color rgb="FF080808"/>
      </bottom>
      <diagonal/>
    </border>
    <border>
      <left style="thin">
        <color rgb="FF0F0F0F"/>
      </left>
      <right style="thin">
        <color rgb="FF1C1C1C"/>
      </right>
      <top style="thin">
        <color rgb="FF0F0F0F"/>
      </top>
      <bottom style="thin">
        <color rgb="FF080808"/>
      </bottom>
      <diagonal/>
    </border>
    <border>
      <left style="thin">
        <color rgb="FF1C1C1C"/>
      </left>
      <right style="thin">
        <color rgb="FF282828"/>
      </right>
      <top style="thin">
        <color rgb="FF0F0F0F"/>
      </top>
      <bottom style="thin">
        <color rgb="FF080808"/>
      </bottom>
      <diagonal/>
    </border>
    <border>
      <left style="thin">
        <color rgb="FF282828"/>
      </left>
      <right style="thin">
        <color rgb="FF5B5B5B"/>
      </right>
      <top style="thin">
        <color rgb="FF0F0F0F"/>
      </top>
      <bottom style="thin">
        <color rgb="FF080808"/>
      </bottom>
      <diagonal/>
    </border>
    <border>
      <left style="thin">
        <color rgb="FF5B5B5B"/>
      </left>
      <right style="thin">
        <color rgb="FF000000"/>
      </right>
      <top style="thin">
        <color rgb="FF0F0F0F"/>
      </top>
      <bottom style="thin">
        <color rgb="FF080808"/>
      </bottom>
      <diagonal/>
    </border>
    <border>
      <left style="thin">
        <color rgb="FF000000"/>
      </left>
      <right style="thin">
        <color rgb="FF5B5B5B"/>
      </right>
      <top style="thin">
        <color rgb="FF080808"/>
      </top>
      <bottom style="thin">
        <color rgb="FF606060"/>
      </bottom>
      <diagonal/>
    </border>
    <border>
      <left style="thin">
        <color rgb="FF5B5B5B"/>
      </left>
      <right style="thin">
        <color rgb="FF5B5B5B"/>
      </right>
      <top style="thin">
        <color rgb="FF080808"/>
      </top>
      <bottom style="thin">
        <color rgb="FF606060"/>
      </bottom>
      <diagonal/>
    </border>
    <border>
      <left style="thin">
        <color rgb="FF5B5B5B"/>
      </left>
      <right style="thin">
        <color rgb="FF282828"/>
      </right>
      <top style="thin">
        <color rgb="FF080808"/>
      </top>
      <bottom style="thin">
        <color rgb="FF606060"/>
      </bottom>
      <diagonal/>
    </border>
    <border>
      <left style="thin">
        <color rgb="FF282828"/>
      </left>
      <right style="thin">
        <color rgb="FF0F0F0F"/>
      </right>
      <top style="thin">
        <color rgb="FF080808"/>
      </top>
      <bottom style="thin">
        <color rgb="FF606060"/>
      </bottom>
      <diagonal/>
    </border>
    <border>
      <left style="thin">
        <color rgb="FF0F0F0F"/>
      </left>
      <right style="thin">
        <color rgb="FF1C1C1C"/>
      </right>
      <top style="thin">
        <color rgb="FF080808"/>
      </top>
      <bottom style="thin">
        <color rgb="FF606060"/>
      </bottom>
      <diagonal/>
    </border>
    <border>
      <left style="thin">
        <color rgb="FF1C1C1C"/>
      </left>
      <right style="thin">
        <color rgb="FF282828"/>
      </right>
      <top style="thin">
        <color rgb="FF080808"/>
      </top>
      <bottom style="thin">
        <color rgb="FF606060"/>
      </bottom>
      <diagonal/>
    </border>
    <border>
      <left style="thin">
        <color rgb="FF282828"/>
      </left>
      <right style="thin">
        <color rgb="FF5B5B5B"/>
      </right>
      <top style="thin">
        <color rgb="FF080808"/>
      </top>
      <bottom style="thin">
        <color rgb="FF606060"/>
      </bottom>
      <diagonal/>
    </border>
    <border>
      <left style="thin">
        <color rgb="FF5B5B5B"/>
      </left>
      <right style="thin">
        <color rgb="FF000000"/>
      </right>
      <top style="thin">
        <color rgb="FF080808"/>
      </top>
      <bottom style="thin">
        <color rgb="FF606060"/>
      </bottom>
      <diagonal/>
    </border>
    <border>
      <left style="thin">
        <color rgb="FF000000"/>
      </left>
      <right style="thin">
        <color rgb="FF5B5B5B"/>
      </right>
      <top style="thin">
        <color rgb="FF606060"/>
      </top>
      <bottom style="thin">
        <color rgb="FF030303"/>
      </bottom>
      <diagonal/>
    </border>
    <border>
      <left style="thin">
        <color rgb="FF5B5B5B"/>
      </left>
      <right style="thin">
        <color rgb="FF5B5B5B"/>
      </right>
      <top style="thin">
        <color rgb="FF606060"/>
      </top>
      <bottom style="thin">
        <color rgb="FF030303"/>
      </bottom>
      <diagonal/>
    </border>
    <border>
      <left style="thin">
        <color rgb="FF5B5B5B"/>
      </left>
      <right style="thin">
        <color rgb="FF282828"/>
      </right>
      <top style="thin">
        <color rgb="FF606060"/>
      </top>
      <bottom style="thin">
        <color rgb="FF030303"/>
      </bottom>
      <diagonal/>
    </border>
    <border>
      <left style="thin">
        <color rgb="FF282828"/>
      </left>
      <right style="thin">
        <color rgb="FF0F0F0F"/>
      </right>
      <top style="thin">
        <color rgb="FF606060"/>
      </top>
      <bottom style="thin">
        <color rgb="FF030303"/>
      </bottom>
      <diagonal/>
    </border>
    <border>
      <left style="thin">
        <color rgb="FF0F0F0F"/>
      </left>
      <right style="thin">
        <color rgb="FF1C1C1C"/>
      </right>
      <top style="thin">
        <color rgb="FF606060"/>
      </top>
      <bottom style="thin">
        <color rgb="FF030303"/>
      </bottom>
      <diagonal/>
    </border>
    <border>
      <left style="thin">
        <color rgb="FF1C1C1C"/>
      </left>
      <right style="thin">
        <color rgb="FF282828"/>
      </right>
      <top style="thin">
        <color rgb="FF606060"/>
      </top>
      <bottom style="thin">
        <color rgb="FF030303"/>
      </bottom>
      <diagonal/>
    </border>
    <border>
      <left style="thin">
        <color rgb="FF282828"/>
      </left>
      <right style="thin">
        <color rgb="FF5B5B5B"/>
      </right>
      <top style="thin">
        <color rgb="FF606060"/>
      </top>
      <bottom style="thin">
        <color rgb="FF030303"/>
      </bottom>
      <diagonal/>
    </border>
    <border>
      <left style="thin">
        <color rgb="FF5B5B5B"/>
      </left>
      <right style="thin">
        <color rgb="FF000000"/>
      </right>
      <top style="thin">
        <color rgb="FF606060"/>
      </top>
      <bottom style="thin">
        <color rgb="FF030303"/>
      </bottom>
      <diagonal/>
    </border>
    <border>
      <left style="thin">
        <color rgb="FF000000"/>
      </left>
      <right style="thin">
        <color rgb="FF5B5B5B"/>
      </right>
      <top style="thin">
        <color rgb="FF030303"/>
      </top>
      <bottom style="thin">
        <color rgb="FF131313"/>
      </bottom>
      <diagonal/>
    </border>
    <border>
      <left style="thin">
        <color rgb="FF5B5B5B"/>
      </left>
      <right style="thin">
        <color rgb="FF5B5B5B"/>
      </right>
      <top style="thin">
        <color rgb="FF030303"/>
      </top>
      <bottom style="thin">
        <color rgb="FF131313"/>
      </bottom>
      <diagonal/>
    </border>
    <border>
      <left style="thin">
        <color rgb="FF5B5B5B"/>
      </left>
      <right style="thin">
        <color rgb="FF282828"/>
      </right>
      <top style="thin">
        <color rgb="FF030303"/>
      </top>
      <bottom style="thin">
        <color rgb="FF131313"/>
      </bottom>
      <diagonal/>
    </border>
    <border>
      <left style="thin">
        <color rgb="FF282828"/>
      </left>
      <right style="thin">
        <color rgb="FF0F0F0F"/>
      </right>
      <top style="thin">
        <color rgb="FF030303"/>
      </top>
      <bottom style="thin">
        <color rgb="FF131313"/>
      </bottom>
      <diagonal/>
    </border>
    <border>
      <left style="thin">
        <color rgb="FF0F0F0F"/>
      </left>
      <right style="thin">
        <color rgb="FF1C1C1C"/>
      </right>
      <top style="thin">
        <color rgb="FF030303"/>
      </top>
      <bottom style="thin">
        <color rgb="FF131313"/>
      </bottom>
      <diagonal/>
    </border>
    <border>
      <left style="thin">
        <color rgb="FF1C1C1C"/>
      </left>
      <right style="thin">
        <color rgb="FF282828"/>
      </right>
      <top style="thin">
        <color rgb="FF030303"/>
      </top>
      <bottom style="thin">
        <color rgb="FF131313"/>
      </bottom>
      <diagonal/>
    </border>
    <border>
      <left style="thin">
        <color rgb="FF282828"/>
      </left>
      <right style="thin">
        <color rgb="FF5B5B5B"/>
      </right>
      <top style="thin">
        <color rgb="FF030303"/>
      </top>
      <bottom style="thin">
        <color rgb="FF131313"/>
      </bottom>
      <diagonal/>
    </border>
    <border>
      <left style="thin">
        <color rgb="FF5B5B5B"/>
      </left>
      <right style="thin">
        <color rgb="FF000000"/>
      </right>
      <top style="thin">
        <color rgb="FF030303"/>
      </top>
      <bottom style="thin">
        <color rgb="FF131313"/>
      </bottom>
      <diagonal/>
    </border>
    <border>
      <left style="thin">
        <color rgb="FF000000"/>
      </left>
      <right style="thin">
        <color rgb="FF5B5B5B"/>
      </right>
      <top style="thin">
        <color rgb="FF131313"/>
      </top>
      <bottom style="thin">
        <color rgb="FF282828"/>
      </bottom>
      <diagonal/>
    </border>
    <border>
      <left style="thin">
        <color rgb="FF5B5B5B"/>
      </left>
      <right style="thin">
        <color rgb="FF5B5B5B"/>
      </right>
      <top style="thin">
        <color rgb="FF131313"/>
      </top>
      <bottom style="thin">
        <color rgb="FF282828"/>
      </bottom>
      <diagonal/>
    </border>
    <border>
      <left style="thin">
        <color rgb="FF5B5B5B"/>
      </left>
      <right style="thin">
        <color rgb="FF282828"/>
      </right>
      <top style="thin">
        <color rgb="FF131313"/>
      </top>
      <bottom style="thin">
        <color rgb="FF282828"/>
      </bottom>
      <diagonal/>
    </border>
    <border>
      <left style="thin">
        <color rgb="FF282828"/>
      </left>
      <right style="thin">
        <color rgb="FF0F0F0F"/>
      </right>
      <top style="thin">
        <color rgb="FF131313"/>
      </top>
      <bottom style="thin">
        <color rgb="FF282828"/>
      </bottom>
      <diagonal/>
    </border>
    <border>
      <left style="thin">
        <color rgb="FF0F0F0F"/>
      </left>
      <right style="thin">
        <color rgb="FF1C1C1C"/>
      </right>
      <top style="thin">
        <color rgb="FF131313"/>
      </top>
      <bottom style="thin">
        <color rgb="FF282828"/>
      </bottom>
      <diagonal/>
    </border>
    <border>
      <left style="thin">
        <color rgb="FF1C1C1C"/>
      </left>
      <right style="thin">
        <color rgb="FF282828"/>
      </right>
      <top style="thin">
        <color rgb="FF131313"/>
      </top>
      <bottom style="thin">
        <color rgb="FF282828"/>
      </bottom>
      <diagonal/>
    </border>
    <border>
      <left style="thin">
        <color rgb="FF282828"/>
      </left>
      <right style="thin">
        <color rgb="FF5B5B5B"/>
      </right>
      <top style="thin">
        <color rgb="FF131313"/>
      </top>
      <bottom style="thin">
        <color rgb="FF282828"/>
      </bottom>
      <diagonal/>
    </border>
    <border>
      <left style="thin">
        <color rgb="FF5B5B5B"/>
      </left>
      <right style="thin">
        <color rgb="FF000000"/>
      </right>
      <top style="thin">
        <color rgb="FF131313"/>
      </top>
      <bottom style="thin">
        <color rgb="FF282828"/>
      </bottom>
      <diagonal/>
    </border>
    <border>
      <left style="thin">
        <color rgb="FF000000"/>
      </left>
      <right style="thin">
        <color rgb="FF5B5B5B"/>
      </right>
      <top style="thin">
        <color rgb="FF282828"/>
      </top>
      <bottom style="thin">
        <color rgb="FF606060"/>
      </bottom>
      <diagonal/>
    </border>
    <border>
      <left style="thin">
        <color rgb="FF5B5B5B"/>
      </left>
      <right style="thin">
        <color rgb="FF5B5B5B"/>
      </right>
      <top style="thin">
        <color rgb="FF282828"/>
      </top>
      <bottom style="thin">
        <color rgb="FF606060"/>
      </bottom>
      <diagonal/>
    </border>
    <border>
      <left style="thin">
        <color rgb="FF5B5B5B"/>
      </left>
      <right style="thin">
        <color rgb="FF282828"/>
      </right>
      <top style="thin">
        <color rgb="FF282828"/>
      </top>
      <bottom style="thin">
        <color rgb="FF606060"/>
      </bottom>
      <diagonal/>
    </border>
    <border>
      <left style="thin">
        <color rgb="FF282828"/>
      </left>
      <right style="thin">
        <color rgb="FF0F0F0F"/>
      </right>
      <top style="thin">
        <color rgb="FF282828"/>
      </top>
      <bottom style="thin">
        <color rgb="FF606060"/>
      </bottom>
      <diagonal/>
    </border>
    <border>
      <left style="thin">
        <color rgb="FF0F0F0F"/>
      </left>
      <right style="thin">
        <color rgb="FF1C1C1C"/>
      </right>
      <top style="thin">
        <color rgb="FF282828"/>
      </top>
      <bottom style="thin">
        <color rgb="FF606060"/>
      </bottom>
      <diagonal/>
    </border>
    <border>
      <left style="thin">
        <color rgb="FF1C1C1C"/>
      </left>
      <right style="thin">
        <color rgb="FF282828"/>
      </right>
      <top style="thin">
        <color rgb="FF282828"/>
      </top>
      <bottom style="thin">
        <color rgb="FF606060"/>
      </bottom>
      <diagonal/>
    </border>
    <border>
      <left style="thin">
        <color rgb="FF282828"/>
      </left>
      <right style="thin">
        <color rgb="FF5B5B5B"/>
      </right>
      <top style="thin">
        <color rgb="FF282828"/>
      </top>
      <bottom style="thin">
        <color rgb="FF606060"/>
      </bottom>
      <diagonal/>
    </border>
    <border>
      <left style="thin">
        <color rgb="FF5B5B5B"/>
      </left>
      <right style="thin">
        <color rgb="FF000000"/>
      </right>
      <top style="thin">
        <color rgb="FF282828"/>
      </top>
      <bottom style="thin">
        <color rgb="FF606060"/>
      </bottom>
      <diagonal/>
    </border>
    <border>
      <left style="thin">
        <color rgb="FF000000"/>
      </left>
      <right style="thin">
        <color rgb="FF5B5B5B"/>
      </right>
      <top style="thin">
        <color rgb="FF606060"/>
      </top>
      <bottom style="thin">
        <color rgb="FF0F0F0F"/>
      </bottom>
      <diagonal/>
    </border>
    <border>
      <left style="thin">
        <color rgb="FF5B5B5B"/>
      </left>
      <right style="thin">
        <color rgb="FF5B5B5B"/>
      </right>
      <top style="thin">
        <color rgb="FF606060"/>
      </top>
      <bottom style="thin">
        <color rgb="FF0F0F0F"/>
      </bottom>
      <diagonal/>
    </border>
    <border>
      <left style="thin">
        <color rgb="FF5B5B5B"/>
      </left>
      <right style="thin">
        <color rgb="FF282828"/>
      </right>
      <top style="thin">
        <color rgb="FF606060"/>
      </top>
      <bottom style="thin">
        <color rgb="FF0F0F0F"/>
      </bottom>
      <diagonal/>
    </border>
    <border>
      <left style="thin">
        <color rgb="FF282828"/>
      </left>
      <right style="thin">
        <color rgb="FF0F0F0F"/>
      </right>
      <top style="thin">
        <color rgb="FF606060"/>
      </top>
      <bottom style="thin">
        <color rgb="FF0F0F0F"/>
      </bottom>
      <diagonal/>
    </border>
    <border>
      <left style="thin">
        <color rgb="FF0F0F0F"/>
      </left>
      <right style="thin">
        <color rgb="FF1C1C1C"/>
      </right>
      <top style="thin">
        <color rgb="FF606060"/>
      </top>
      <bottom style="thin">
        <color rgb="FF0F0F0F"/>
      </bottom>
      <diagonal/>
    </border>
    <border>
      <left style="thin">
        <color rgb="FF1C1C1C"/>
      </left>
      <right style="thin">
        <color rgb="FF282828"/>
      </right>
      <top style="thin">
        <color rgb="FF606060"/>
      </top>
      <bottom style="thin">
        <color rgb="FF0F0F0F"/>
      </bottom>
      <diagonal/>
    </border>
    <border>
      <left style="thin">
        <color rgb="FF282828"/>
      </left>
      <right style="thin">
        <color rgb="FF5B5B5B"/>
      </right>
      <top style="thin">
        <color rgb="FF606060"/>
      </top>
      <bottom style="thin">
        <color rgb="FF0F0F0F"/>
      </bottom>
      <diagonal/>
    </border>
    <border>
      <left style="thin">
        <color rgb="FF5B5B5B"/>
      </left>
      <right style="thin">
        <color rgb="FF000000"/>
      </right>
      <top style="thin">
        <color rgb="FF606060"/>
      </top>
      <bottom style="thin">
        <color rgb="FF0F0F0F"/>
      </bottom>
      <diagonal/>
    </border>
    <border>
      <left style="thin">
        <color rgb="FF000000"/>
      </left>
      <right style="thin">
        <color rgb="FF5B5B5B"/>
      </right>
      <top style="thin">
        <color rgb="FF0F0F0F"/>
      </top>
      <bottom style="thin">
        <color rgb="FF1F1F1F"/>
      </bottom>
      <diagonal/>
    </border>
    <border>
      <left style="thin">
        <color rgb="FF5B5B5B"/>
      </left>
      <right style="thin">
        <color rgb="FF5B5B5B"/>
      </right>
      <top style="thin">
        <color rgb="FF0F0F0F"/>
      </top>
      <bottom style="thin">
        <color rgb="FF1F1F1F"/>
      </bottom>
      <diagonal/>
    </border>
    <border>
      <left style="thin">
        <color rgb="FF5B5B5B"/>
      </left>
      <right style="thin">
        <color rgb="FF282828"/>
      </right>
      <top style="thin">
        <color rgb="FF0F0F0F"/>
      </top>
      <bottom style="thin">
        <color rgb="FF1F1F1F"/>
      </bottom>
      <diagonal/>
    </border>
    <border>
      <left style="thin">
        <color rgb="FF282828"/>
      </left>
      <right style="thin">
        <color rgb="FF0F0F0F"/>
      </right>
      <top style="thin">
        <color rgb="FF0F0F0F"/>
      </top>
      <bottom style="thin">
        <color rgb="FF1F1F1F"/>
      </bottom>
      <diagonal/>
    </border>
    <border>
      <left style="thin">
        <color rgb="FF0F0F0F"/>
      </left>
      <right style="thin">
        <color rgb="FF1C1C1C"/>
      </right>
      <top style="thin">
        <color rgb="FF0F0F0F"/>
      </top>
      <bottom style="thin">
        <color rgb="FF1F1F1F"/>
      </bottom>
      <diagonal/>
    </border>
    <border>
      <left style="thin">
        <color rgb="FF1C1C1C"/>
      </left>
      <right style="thin">
        <color rgb="FF282828"/>
      </right>
      <top style="thin">
        <color rgb="FF0F0F0F"/>
      </top>
      <bottom style="thin">
        <color rgb="FF1F1F1F"/>
      </bottom>
      <diagonal/>
    </border>
    <border>
      <left style="thin">
        <color rgb="FF282828"/>
      </left>
      <right style="thin">
        <color rgb="FF5B5B5B"/>
      </right>
      <top style="thin">
        <color rgb="FF0F0F0F"/>
      </top>
      <bottom style="thin">
        <color rgb="FF1F1F1F"/>
      </bottom>
      <diagonal/>
    </border>
    <border>
      <left style="thin">
        <color rgb="FF5B5B5B"/>
      </left>
      <right style="thin">
        <color rgb="FF000000"/>
      </right>
      <top style="thin">
        <color rgb="FF0F0F0F"/>
      </top>
      <bottom style="thin">
        <color rgb="FF1F1F1F"/>
      </bottom>
      <diagonal/>
    </border>
    <border>
      <left style="thin">
        <color rgb="FF000000"/>
      </left>
      <right style="thin">
        <color rgb="FF5B5B5B"/>
      </right>
      <top style="thin">
        <color rgb="FF1F1F1F"/>
      </top>
      <bottom style="thin">
        <color rgb="FF606060"/>
      </bottom>
      <diagonal/>
    </border>
    <border>
      <left style="thin">
        <color rgb="FF5B5B5B"/>
      </left>
      <right style="thin">
        <color rgb="FF5B5B5B"/>
      </right>
      <top style="thin">
        <color rgb="FF1F1F1F"/>
      </top>
      <bottom style="thin">
        <color rgb="FF606060"/>
      </bottom>
      <diagonal/>
    </border>
    <border>
      <left style="thin">
        <color rgb="FF5B5B5B"/>
      </left>
      <right style="thin">
        <color rgb="FF282828"/>
      </right>
      <top style="thin">
        <color rgb="FF1F1F1F"/>
      </top>
      <bottom style="thin">
        <color rgb="FF606060"/>
      </bottom>
      <diagonal/>
    </border>
    <border>
      <left style="thin">
        <color rgb="FF282828"/>
      </left>
      <right style="thin">
        <color rgb="FF0F0F0F"/>
      </right>
      <top style="thin">
        <color rgb="FF1F1F1F"/>
      </top>
      <bottom style="thin">
        <color rgb="FF606060"/>
      </bottom>
      <diagonal/>
    </border>
    <border>
      <left style="thin">
        <color rgb="FF0F0F0F"/>
      </left>
      <right style="thin">
        <color rgb="FF1C1C1C"/>
      </right>
      <top style="thin">
        <color rgb="FF1F1F1F"/>
      </top>
      <bottom style="thin">
        <color rgb="FF606060"/>
      </bottom>
      <diagonal/>
    </border>
    <border>
      <left style="thin">
        <color rgb="FF1C1C1C"/>
      </left>
      <right style="thin">
        <color rgb="FF282828"/>
      </right>
      <top style="thin">
        <color rgb="FF1F1F1F"/>
      </top>
      <bottom style="thin">
        <color rgb="FF606060"/>
      </bottom>
      <diagonal/>
    </border>
    <border>
      <left style="thin">
        <color rgb="FF282828"/>
      </left>
      <right style="thin">
        <color rgb="FF5B5B5B"/>
      </right>
      <top style="thin">
        <color rgb="FF1F1F1F"/>
      </top>
      <bottom style="thin">
        <color rgb="FF606060"/>
      </bottom>
      <diagonal/>
    </border>
    <border>
      <left style="thin">
        <color rgb="FF5B5B5B"/>
      </left>
      <right style="thin">
        <color rgb="FF000000"/>
      </right>
      <top style="thin">
        <color rgb="FF1F1F1F"/>
      </top>
      <bottom style="thin">
        <color rgb="FF606060"/>
      </bottom>
      <diagonal/>
    </border>
    <border>
      <left style="thin">
        <color rgb="FF000000"/>
      </left>
      <right style="thin">
        <color rgb="FF5B5B5B"/>
      </right>
      <top style="thin">
        <color rgb="FF606060"/>
      </top>
      <bottom style="thin">
        <color rgb="FF575757"/>
      </bottom>
      <diagonal/>
    </border>
    <border>
      <left style="thin">
        <color rgb="FF5B5B5B"/>
      </left>
      <right style="thin">
        <color rgb="FF5B5B5B"/>
      </right>
      <top style="thin">
        <color rgb="FF606060"/>
      </top>
      <bottom style="thin">
        <color rgb="FF3F3F3F"/>
      </bottom>
      <diagonal/>
    </border>
    <border>
      <left style="thin">
        <color rgb="FF5B5B5B"/>
      </left>
      <right style="thin">
        <color rgb="FF282828"/>
      </right>
      <top style="thin">
        <color rgb="FF606060"/>
      </top>
      <bottom style="thin">
        <color rgb="FF3F3F3F"/>
      </bottom>
      <diagonal/>
    </border>
    <border>
      <left style="thin">
        <color rgb="FF282828"/>
      </left>
      <right style="thin">
        <color rgb="FF0F0F0F"/>
      </right>
      <top style="thin">
        <color rgb="FF606060"/>
      </top>
      <bottom style="thin">
        <color rgb="FF3F3F3F"/>
      </bottom>
      <diagonal/>
    </border>
    <border>
      <left style="thin">
        <color rgb="FF0F0F0F"/>
      </left>
      <right style="thin">
        <color rgb="FF1C1C1C"/>
      </right>
      <top style="thin">
        <color rgb="FF606060"/>
      </top>
      <bottom style="thin">
        <color rgb="FF3F3F3F"/>
      </bottom>
      <diagonal/>
    </border>
    <border>
      <left style="thin">
        <color rgb="FF1C1C1C"/>
      </left>
      <right style="thin">
        <color rgb="FF282828"/>
      </right>
      <top style="thin">
        <color rgb="FF606060"/>
      </top>
      <bottom style="thin">
        <color rgb="FF3F3F3F"/>
      </bottom>
      <diagonal/>
    </border>
    <border>
      <left style="thin">
        <color rgb="FF282828"/>
      </left>
      <right style="thin">
        <color rgb="FF5B5B5B"/>
      </right>
      <top style="thin">
        <color rgb="FF606060"/>
      </top>
      <bottom style="thin">
        <color rgb="FF3F3F3F"/>
      </bottom>
      <diagonal/>
    </border>
    <border>
      <left style="thin">
        <color rgb="FF5B5B5B"/>
      </left>
      <right style="thin">
        <color rgb="FF000000"/>
      </right>
      <top style="thin">
        <color rgb="FF606060"/>
      </top>
      <bottom style="thin">
        <color rgb="FF3F3F3F"/>
      </bottom>
      <diagonal/>
    </border>
    <border>
      <left style="thin">
        <color rgb="FF000000"/>
      </left>
      <right style="thin">
        <color rgb="FF5B5B5B"/>
      </right>
      <top style="thin">
        <color rgb="FF575757"/>
      </top>
      <bottom style="thin">
        <color rgb="FF1C1C1C"/>
      </bottom>
      <diagonal/>
    </border>
    <border>
      <left style="thin">
        <color rgb="FF5B5B5B"/>
      </left>
      <right style="thin">
        <color rgb="FF5B5B5B"/>
      </right>
      <top style="thin">
        <color rgb="FF3F3F3F"/>
      </top>
      <bottom style="thin">
        <color rgb="FF1C1C1C"/>
      </bottom>
      <diagonal/>
    </border>
    <border>
      <left style="thin">
        <color rgb="FF5B5B5B"/>
      </left>
      <right style="thin">
        <color rgb="FF282828"/>
      </right>
      <top style="thin">
        <color rgb="FF3F3F3F"/>
      </top>
      <bottom style="thin">
        <color rgb="FF1C1C1C"/>
      </bottom>
      <diagonal/>
    </border>
    <border>
      <left style="thin">
        <color rgb="FF282828"/>
      </left>
      <right style="thin">
        <color rgb="FF0F0F0F"/>
      </right>
      <top style="thin">
        <color rgb="FF3F3F3F"/>
      </top>
      <bottom style="thin">
        <color rgb="FF1C1C1C"/>
      </bottom>
      <diagonal/>
    </border>
    <border>
      <left style="thin">
        <color rgb="FF0F0F0F"/>
      </left>
      <right style="thin">
        <color rgb="FF1C1C1C"/>
      </right>
      <top style="thin">
        <color rgb="FF3F3F3F"/>
      </top>
      <bottom style="thin">
        <color rgb="FF1C1C1C"/>
      </bottom>
      <diagonal/>
    </border>
    <border>
      <left style="thin">
        <color rgb="FF1C1C1C"/>
      </left>
      <right style="thin">
        <color rgb="FF282828"/>
      </right>
      <top style="thin">
        <color rgb="FF3F3F3F"/>
      </top>
      <bottom style="thin">
        <color rgb="FF1C1C1C"/>
      </bottom>
      <diagonal/>
    </border>
    <border>
      <left style="thin">
        <color rgb="FF282828"/>
      </left>
      <right style="thin">
        <color rgb="FF5B5B5B"/>
      </right>
      <top style="thin">
        <color rgb="FF3F3F3F"/>
      </top>
      <bottom style="thin">
        <color rgb="FF1C1C1C"/>
      </bottom>
      <diagonal/>
    </border>
    <border>
      <left style="thin">
        <color rgb="FF5B5B5B"/>
      </left>
      <right style="thin">
        <color rgb="FF000000"/>
      </right>
      <top style="thin">
        <color rgb="FF3F3F3F"/>
      </top>
      <bottom style="thin">
        <color rgb="FF1C1C1C"/>
      </bottom>
      <diagonal/>
    </border>
    <border>
      <left style="thin">
        <color rgb="FF000000"/>
      </left>
      <right style="thin">
        <color rgb="FF5B5B5B"/>
      </right>
      <top style="thin">
        <color rgb="FF1C1C1C"/>
      </top>
      <bottom style="thin">
        <color rgb="FF000000"/>
      </bottom>
      <diagonal/>
    </border>
    <border>
      <left style="thin">
        <color rgb="FF5B5B5B"/>
      </left>
      <right style="thin">
        <color rgb="FF5B5B5B"/>
      </right>
      <top style="thin">
        <color rgb="FF1C1C1C"/>
      </top>
      <bottom style="thin">
        <color rgb="FF000000"/>
      </bottom>
      <diagonal/>
    </border>
    <border>
      <left style="thin">
        <color rgb="FF5B5B5B"/>
      </left>
      <right style="thin">
        <color rgb="FF282828"/>
      </right>
      <top style="thin">
        <color rgb="FF1C1C1C"/>
      </top>
      <bottom style="thin">
        <color rgb="FF000000"/>
      </bottom>
      <diagonal/>
    </border>
    <border>
      <left style="thin">
        <color rgb="FF282828"/>
      </left>
      <right style="thin">
        <color rgb="FF0F0F0F"/>
      </right>
      <top style="thin">
        <color rgb="FF1C1C1C"/>
      </top>
      <bottom style="thin">
        <color rgb="FF000000"/>
      </bottom>
      <diagonal/>
    </border>
    <border>
      <left style="thin">
        <color rgb="FF0F0F0F"/>
      </left>
      <right style="thin">
        <color rgb="FF1C1C1C"/>
      </right>
      <top style="thin">
        <color rgb="FF1C1C1C"/>
      </top>
      <bottom style="thin">
        <color rgb="FF000000"/>
      </bottom>
      <diagonal/>
    </border>
    <border>
      <left style="thin">
        <color rgb="FF1C1C1C"/>
      </left>
      <right style="thin">
        <color rgb="FF282828"/>
      </right>
      <top style="thin">
        <color rgb="FF1C1C1C"/>
      </top>
      <bottom style="thin">
        <color rgb="FF000000"/>
      </bottom>
      <diagonal/>
    </border>
    <border>
      <left style="thin">
        <color rgb="FF282828"/>
      </left>
      <right style="thin">
        <color rgb="FF5B5B5B"/>
      </right>
      <top style="thin">
        <color rgb="FF1C1C1C"/>
      </top>
      <bottom style="thin">
        <color rgb="FF000000"/>
      </bottom>
      <diagonal/>
    </border>
    <border>
      <left style="thin">
        <color rgb="FF5B5B5B"/>
      </left>
      <right style="thin">
        <color rgb="FF000000"/>
      </right>
      <top style="thin">
        <color rgb="FF1C1C1C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6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vertical="top"/>
    </xf>
    <xf numFmtId="0" fontId="1" fillId="7" borderId="146" xfId="0" applyFont="1" applyFill="1" applyBorder="1" applyAlignment="1">
      <alignment horizontal="left" vertical="top"/>
    </xf>
    <xf numFmtId="0" fontId="1" fillId="7" borderId="146" xfId="0" applyFont="1" applyFill="1" applyBorder="1" applyAlignment="1">
      <alignment horizontal="right" vertical="top"/>
    </xf>
    <xf numFmtId="0" fontId="4" fillId="0" borderId="147" xfId="0" applyFont="1" applyFill="1" applyBorder="1" applyAlignment="1">
      <alignment horizontal="center" vertical="top"/>
    </xf>
    <xf numFmtId="0" fontId="4" fillId="0" borderId="149" xfId="0" applyFont="1" applyFill="1" applyBorder="1" applyAlignment="1">
      <alignment horizontal="center" vertical="top"/>
    </xf>
    <xf numFmtId="0" fontId="4" fillId="0" borderId="146" xfId="0" applyFont="1" applyFill="1" applyBorder="1" applyAlignment="1">
      <alignment horizontal="left" vertical="top"/>
    </xf>
    <xf numFmtId="0" fontId="4" fillId="7" borderId="150" xfId="0" applyFont="1" applyFill="1" applyBorder="1" applyAlignment="1">
      <alignment horizontal="center" vertical="top"/>
    </xf>
    <xf numFmtId="0" fontId="4" fillId="7" borderId="146" xfId="0" applyFont="1" applyFill="1" applyBorder="1" applyAlignment="1">
      <alignment horizontal="center" vertical="top"/>
    </xf>
    <xf numFmtId="0" fontId="4" fillId="4" borderId="146" xfId="0" applyFont="1" applyFill="1" applyBorder="1" applyAlignment="1">
      <alignment horizontal="center" vertical="center" wrapText="1"/>
    </xf>
    <xf numFmtId="0" fontId="4" fillId="4" borderId="146" xfId="0" applyFont="1" applyFill="1" applyBorder="1" applyAlignment="1">
      <alignment horizontal="center" vertical="top" wrapText="1"/>
    </xf>
    <xf numFmtId="0" fontId="4" fillId="4" borderId="146" xfId="0" applyFont="1" applyFill="1" applyBorder="1" applyAlignment="1">
      <alignment horizontal="center" vertical="top" wrapText="1"/>
    </xf>
    <xf numFmtId="0" fontId="4" fillId="0" borderId="146" xfId="0" applyFont="1" applyFill="1" applyBorder="1" applyAlignment="1">
      <alignment horizontal="center" vertical="center" wrapText="1"/>
    </xf>
    <xf numFmtId="164" fontId="4" fillId="0" borderId="146" xfId="0" applyNumberFormat="1" applyFont="1" applyFill="1" applyBorder="1" applyAlignment="1">
      <alignment horizontal="center" vertical="center" wrapText="1"/>
    </xf>
    <xf numFmtId="0" fontId="4" fillId="0" borderId="146" xfId="0" applyFont="1" applyFill="1" applyBorder="1" applyAlignment="1">
      <alignment horizontal="center" vertical="top"/>
    </xf>
    <xf numFmtId="0" fontId="4" fillId="0" borderId="146" xfId="0" applyFont="1" applyFill="1" applyBorder="1" applyAlignment="1">
      <alignment horizontal="center" vertical="center"/>
    </xf>
    <xf numFmtId="0" fontId="4" fillId="7" borderId="147" xfId="0" applyFont="1" applyFill="1" applyBorder="1" applyAlignment="1">
      <alignment horizontal="center" vertical="top"/>
    </xf>
    <xf numFmtId="0" fontId="4" fillId="7" borderId="148" xfId="0" applyFont="1" applyFill="1" applyBorder="1" applyAlignment="1">
      <alignment horizontal="center" vertical="top"/>
    </xf>
    <xf numFmtId="0" fontId="4" fillId="7" borderId="149" xfId="0" applyFont="1" applyFill="1" applyBorder="1" applyAlignment="1">
      <alignment horizontal="center" vertical="top"/>
    </xf>
    <xf numFmtId="0" fontId="4" fillId="4" borderId="146" xfId="0" applyFont="1" applyFill="1" applyBorder="1" applyAlignment="1">
      <alignment horizontal="center" vertical="center" wrapText="1"/>
    </xf>
    <xf numFmtId="0" fontId="4" fillId="4" borderId="147" xfId="0" applyFont="1" applyFill="1" applyBorder="1" applyAlignment="1">
      <alignment horizontal="center" vertical="center" wrapText="1"/>
    </xf>
    <xf numFmtId="0" fontId="4" fillId="4" borderId="148" xfId="0" applyFont="1" applyFill="1" applyBorder="1" applyAlignment="1">
      <alignment horizontal="center" vertical="center" wrapText="1"/>
    </xf>
    <xf numFmtId="0" fontId="4" fillId="4" borderId="149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164" fontId="4" fillId="0" borderId="18" xfId="0" applyNumberFormat="1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164" fontId="4" fillId="0" borderId="19" xfId="0" applyNumberFormat="1" applyFont="1" applyFill="1" applyBorder="1" applyAlignment="1">
      <alignment horizontal="center" vertical="center" wrapText="1"/>
    </xf>
    <xf numFmtId="164" fontId="4" fillId="0" borderId="20" xfId="0" applyNumberFormat="1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164" fontId="4" fillId="0" borderId="22" xfId="0" applyNumberFormat="1" applyFont="1" applyFill="1" applyBorder="1" applyAlignment="1">
      <alignment horizontal="center" vertical="center" wrapText="1"/>
    </xf>
    <xf numFmtId="164" fontId="4" fillId="0" borderId="23" xfId="0" applyNumberFormat="1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164" fontId="4" fillId="0" borderId="26" xfId="0" applyNumberFormat="1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164" fontId="4" fillId="0" borderId="27" xfId="0" applyNumberFormat="1" applyFont="1" applyFill="1" applyBorder="1" applyAlignment="1">
      <alignment horizontal="center" vertical="center" wrapText="1"/>
    </xf>
    <xf numFmtId="164" fontId="4" fillId="0" borderId="28" xfId="0" applyNumberFormat="1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164" fontId="4" fillId="0" borderId="30" xfId="0" applyNumberFormat="1" applyFont="1" applyFill="1" applyBorder="1" applyAlignment="1">
      <alignment horizontal="center" vertical="center" wrapText="1"/>
    </xf>
    <xf numFmtId="164" fontId="4" fillId="0" borderId="31" xfId="0" applyNumberFormat="1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164" fontId="4" fillId="0" borderId="34" xfId="0" applyNumberFormat="1" applyFont="1" applyFill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center" vertical="center" wrapText="1"/>
    </xf>
    <xf numFmtId="164" fontId="4" fillId="0" borderId="35" xfId="0" applyNumberFormat="1" applyFont="1" applyFill="1" applyBorder="1" applyAlignment="1">
      <alignment horizontal="center" vertical="center" wrapText="1"/>
    </xf>
    <xf numFmtId="164" fontId="4" fillId="0" borderId="36" xfId="0" applyNumberFormat="1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164" fontId="4" fillId="0" borderId="38" xfId="0" applyNumberFormat="1" applyFont="1" applyFill="1" applyBorder="1" applyAlignment="1">
      <alignment horizontal="center" vertical="center" wrapText="1"/>
    </xf>
    <xf numFmtId="164" fontId="4" fillId="0" borderId="39" xfId="0" applyNumberFormat="1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164" fontId="4" fillId="0" borderId="42" xfId="0" applyNumberFormat="1" applyFont="1" applyFill="1" applyBorder="1" applyAlignment="1">
      <alignment horizontal="center" vertical="center" wrapText="1"/>
    </xf>
    <xf numFmtId="0" fontId="4" fillId="0" borderId="43" xfId="0" applyFont="1" applyFill="1" applyBorder="1" applyAlignment="1">
      <alignment horizontal="center" vertical="center" wrapText="1"/>
    </xf>
    <xf numFmtId="164" fontId="4" fillId="0" borderId="43" xfId="0" applyNumberFormat="1" applyFont="1" applyFill="1" applyBorder="1" applyAlignment="1">
      <alignment horizontal="center" vertical="center" wrapText="1"/>
    </xf>
    <xf numFmtId="164" fontId="4" fillId="0" borderId="44" xfId="0" applyNumberFormat="1" applyFont="1" applyFill="1" applyBorder="1" applyAlignment="1">
      <alignment horizontal="center" vertical="center" wrapText="1"/>
    </xf>
    <xf numFmtId="0" fontId="4" fillId="0" borderId="45" xfId="0" applyFont="1" applyFill="1" applyBorder="1" applyAlignment="1">
      <alignment horizontal="center" vertical="center" wrapText="1"/>
    </xf>
    <xf numFmtId="164" fontId="4" fillId="0" borderId="46" xfId="0" applyNumberFormat="1" applyFont="1" applyFill="1" applyBorder="1" applyAlignment="1">
      <alignment horizontal="center" vertical="center" wrapText="1"/>
    </xf>
    <xf numFmtId="164" fontId="4" fillId="0" borderId="47" xfId="0" applyNumberFormat="1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0" borderId="49" xfId="0" applyFont="1" applyFill="1" applyBorder="1" applyAlignment="1">
      <alignment horizontal="center" vertical="center" wrapText="1"/>
    </xf>
    <xf numFmtId="164" fontId="4" fillId="0" borderId="50" xfId="0" applyNumberFormat="1" applyFont="1" applyFill="1" applyBorder="1" applyAlignment="1">
      <alignment horizontal="center" vertical="center" wrapText="1"/>
    </xf>
    <xf numFmtId="0" fontId="4" fillId="0" borderId="51" xfId="0" applyFont="1" applyFill="1" applyBorder="1" applyAlignment="1">
      <alignment horizontal="center" vertical="center" wrapText="1"/>
    </xf>
    <xf numFmtId="164" fontId="4" fillId="0" borderId="51" xfId="0" applyNumberFormat="1" applyFont="1" applyFill="1" applyBorder="1" applyAlignment="1">
      <alignment horizontal="center" vertical="center" wrapText="1"/>
    </xf>
    <xf numFmtId="164" fontId="4" fillId="0" borderId="52" xfId="0" applyNumberFormat="1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164" fontId="4" fillId="0" borderId="54" xfId="0" applyNumberFormat="1" applyFont="1" applyFill="1" applyBorder="1" applyAlignment="1">
      <alignment horizontal="center" vertical="center" wrapText="1"/>
    </xf>
    <xf numFmtId="164" fontId="4" fillId="0" borderId="55" xfId="0" applyNumberFormat="1" applyFont="1" applyFill="1" applyBorder="1" applyAlignment="1">
      <alignment horizontal="center" vertical="center" wrapText="1"/>
    </xf>
    <xf numFmtId="0" fontId="4" fillId="0" borderId="56" xfId="0" applyFont="1" applyFill="1" applyBorder="1" applyAlignment="1">
      <alignment horizontal="center" vertical="center" wrapText="1"/>
    </xf>
    <xf numFmtId="0" fontId="4" fillId="0" borderId="57" xfId="0" applyFont="1" applyFill="1" applyBorder="1" applyAlignment="1">
      <alignment horizontal="center" vertical="center" wrapText="1"/>
    </xf>
    <xf numFmtId="164" fontId="4" fillId="0" borderId="58" xfId="0" applyNumberFormat="1" applyFont="1" applyFill="1" applyBorder="1" applyAlignment="1">
      <alignment horizontal="center" vertical="center" wrapText="1"/>
    </xf>
    <xf numFmtId="0" fontId="4" fillId="0" borderId="59" xfId="0" applyFont="1" applyFill="1" applyBorder="1" applyAlignment="1">
      <alignment horizontal="center" vertical="center" wrapText="1"/>
    </xf>
    <xf numFmtId="164" fontId="4" fillId="0" borderId="59" xfId="0" applyNumberFormat="1" applyFont="1" applyFill="1" applyBorder="1" applyAlignment="1">
      <alignment horizontal="center" vertical="center" wrapText="1"/>
    </xf>
    <xf numFmtId="164" fontId="4" fillId="0" borderId="60" xfId="0" applyNumberFormat="1" applyFont="1" applyFill="1" applyBorder="1" applyAlignment="1">
      <alignment horizontal="center" vertical="center" wrapText="1"/>
    </xf>
    <xf numFmtId="0" fontId="4" fillId="0" borderId="61" xfId="0" applyFont="1" applyFill="1" applyBorder="1" applyAlignment="1">
      <alignment horizontal="center" vertical="center" wrapText="1"/>
    </xf>
    <xf numFmtId="164" fontId="4" fillId="0" borderId="62" xfId="0" applyNumberFormat="1" applyFont="1" applyFill="1" applyBorder="1" applyAlignment="1">
      <alignment horizontal="center" vertical="center" wrapText="1"/>
    </xf>
    <xf numFmtId="164" fontId="4" fillId="0" borderId="63" xfId="0" applyNumberFormat="1" applyFont="1" applyFill="1" applyBorder="1" applyAlignment="1">
      <alignment horizontal="center" vertical="center" wrapText="1"/>
    </xf>
    <xf numFmtId="0" fontId="4" fillId="0" borderId="64" xfId="0" applyFont="1" applyFill="1" applyBorder="1" applyAlignment="1">
      <alignment horizontal="center" vertical="center" wrapText="1"/>
    </xf>
    <xf numFmtId="0" fontId="4" fillId="0" borderId="65" xfId="0" applyFont="1" applyFill="1" applyBorder="1" applyAlignment="1">
      <alignment horizontal="center" vertical="center" wrapText="1"/>
    </xf>
    <xf numFmtId="164" fontId="4" fillId="0" borderId="66" xfId="0" applyNumberFormat="1" applyFont="1" applyFill="1" applyBorder="1" applyAlignment="1">
      <alignment horizontal="center" vertical="center" wrapText="1"/>
    </xf>
    <xf numFmtId="0" fontId="4" fillId="0" borderId="67" xfId="0" applyFont="1" applyFill="1" applyBorder="1" applyAlignment="1">
      <alignment horizontal="center" vertical="center" wrapText="1"/>
    </xf>
    <xf numFmtId="164" fontId="4" fillId="0" borderId="67" xfId="0" applyNumberFormat="1" applyFont="1" applyFill="1" applyBorder="1" applyAlignment="1">
      <alignment horizontal="center" vertical="center" wrapText="1"/>
    </xf>
    <xf numFmtId="164" fontId="4" fillId="0" borderId="68" xfId="0" applyNumberFormat="1" applyFont="1" applyFill="1" applyBorder="1" applyAlignment="1">
      <alignment horizontal="center" vertical="center" wrapText="1"/>
    </xf>
    <xf numFmtId="0" fontId="4" fillId="0" borderId="69" xfId="0" applyFont="1" applyFill="1" applyBorder="1" applyAlignment="1">
      <alignment horizontal="center" vertical="center" wrapText="1"/>
    </xf>
    <xf numFmtId="164" fontId="4" fillId="0" borderId="70" xfId="0" applyNumberFormat="1" applyFont="1" applyFill="1" applyBorder="1" applyAlignment="1">
      <alignment horizontal="center" vertical="center" wrapText="1"/>
    </xf>
    <xf numFmtId="164" fontId="4" fillId="0" borderId="71" xfId="0" applyNumberFormat="1" applyFont="1" applyFill="1" applyBorder="1" applyAlignment="1">
      <alignment horizontal="center" vertical="center" wrapText="1"/>
    </xf>
    <xf numFmtId="0" fontId="4" fillId="0" borderId="72" xfId="0" applyFont="1" applyFill="1" applyBorder="1" applyAlignment="1">
      <alignment horizontal="center" vertical="center" wrapText="1"/>
    </xf>
    <xf numFmtId="0" fontId="4" fillId="0" borderId="73" xfId="0" applyFont="1" applyFill="1" applyBorder="1" applyAlignment="1">
      <alignment horizontal="center" vertical="center" wrapText="1"/>
    </xf>
    <xf numFmtId="164" fontId="4" fillId="0" borderId="74" xfId="0" applyNumberFormat="1" applyFont="1" applyFill="1" applyBorder="1" applyAlignment="1">
      <alignment horizontal="center" vertical="center" wrapText="1"/>
    </xf>
    <xf numFmtId="0" fontId="4" fillId="0" borderId="75" xfId="0" applyFont="1" applyFill="1" applyBorder="1" applyAlignment="1">
      <alignment horizontal="center" vertical="center" wrapText="1"/>
    </xf>
    <xf numFmtId="164" fontId="4" fillId="0" borderId="75" xfId="0" applyNumberFormat="1" applyFont="1" applyFill="1" applyBorder="1" applyAlignment="1">
      <alignment horizontal="center" vertical="center" wrapText="1"/>
    </xf>
    <xf numFmtId="164" fontId="4" fillId="0" borderId="76" xfId="0" applyNumberFormat="1" applyFont="1" applyFill="1" applyBorder="1" applyAlignment="1">
      <alignment horizontal="center" vertical="center" wrapText="1"/>
    </xf>
    <xf numFmtId="0" fontId="4" fillId="0" borderId="77" xfId="0" applyFont="1" applyFill="1" applyBorder="1" applyAlignment="1">
      <alignment horizontal="center" vertical="center" wrapText="1"/>
    </xf>
    <xf numFmtId="164" fontId="4" fillId="0" borderId="78" xfId="0" applyNumberFormat="1" applyFont="1" applyFill="1" applyBorder="1" applyAlignment="1">
      <alignment horizontal="center" vertical="center" wrapText="1"/>
    </xf>
    <xf numFmtId="164" fontId="4" fillId="0" borderId="79" xfId="0" applyNumberFormat="1" applyFont="1" applyFill="1" applyBorder="1" applyAlignment="1">
      <alignment horizontal="center" vertical="center" wrapText="1"/>
    </xf>
    <xf numFmtId="0" fontId="4" fillId="0" borderId="80" xfId="0" applyFont="1" applyFill="1" applyBorder="1" applyAlignment="1">
      <alignment horizontal="center" vertical="center" wrapText="1"/>
    </xf>
    <xf numFmtId="0" fontId="4" fillId="0" borderId="81" xfId="0" applyFont="1" applyFill="1" applyBorder="1" applyAlignment="1">
      <alignment horizontal="center" vertical="center" wrapText="1"/>
    </xf>
    <xf numFmtId="164" fontId="4" fillId="0" borderId="82" xfId="0" applyNumberFormat="1" applyFont="1" applyFill="1" applyBorder="1" applyAlignment="1">
      <alignment horizontal="center" vertical="center" wrapText="1"/>
    </xf>
    <xf numFmtId="0" fontId="4" fillId="0" borderId="83" xfId="0" applyFont="1" applyFill="1" applyBorder="1" applyAlignment="1">
      <alignment horizontal="center" vertical="center" wrapText="1"/>
    </xf>
    <xf numFmtId="164" fontId="4" fillId="0" borderId="83" xfId="0" applyNumberFormat="1" applyFont="1" applyFill="1" applyBorder="1" applyAlignment="1">
      <alignment horizontal="center" vertical="center" wrapText="1"/>
    </xf>
    <xf numFmtId="164" fontId="4" fillId="0" borderId="84" xfId="0" applyNumberFormat="1" applyFont="1" applyFill="1" applyBorder="1" applyAlignment="1">
      <alignment horizontal="center" vertical="center" wrapText="1"/>
    </xf>
    <xf numFmtId="0" fontId="4" fillId="0" borderId="85" xfId="0" applyFont="1" applyFill="1" applyBorder="1" applyAlignment="1">
      <alignment horizontal="center" vertical="center" wrapText="1"/>
    </xf>
    <xf numFmtId="164" fontId="4" fillId="0" borderId="86" xfId="0" applyNumberFormat="1" applyFont="1" applyFill="1" applyBorder="1" applyAlignment="1">
      <alignment horizontal="center" vertical="center" wrapText="1"/>
    </xf>
    <xf numFmtId="164" fontId="4" fillId="0" borderId="87" xfId="0" applyNumberFormat="1" applyFont="1" applyFill="1" applyBorder="1" applyAlignment="1">
      <alignment horizontal="center" vertical="center" wrapText="1"/>
    </xf>
    <xf numFmtId="0" fontId="4" fillId="0" borderId="88" xfId="0" applyFont="1" applyFill="1" applyBorder="1" applyAlignment="1">
      <alignment horizontal="center" vertical="center" wrapText="1"/>
    </xf>
    <xf numFmtId="0" fontId="4" fillId="0" borderId="89" xfId="0" applyFont="1" applyFill="1" applyBorder="1" applyAlignment="1">
      <alignment horizontal="center" vertical="center" wrapText="1"/>
    </xf>
    <xf numFmtId="164" fontId="4" fillId="0" borderId="90" xfId="0" applyNumberFormat="1" applyFont="1" applyFill="1" applyBorder="1" applyAlignment="1">
      <alignment horizontal="center" vertical="center" wrapText="1"/>
    </xf>
    <xf numFmtId="0" fontId="4" fillId="0" borderId="91" xfId="0" applyFont="1" applyFill="1" applyBorder="1" applyAlignment="1">
      <alignment horizontal="center" vertical="center" wrapText="1"/>
    </xf>
    <xf numFmtId="164" fontId="4" fillId="0" borderId="91" xfId="0" applyNumberFormat="1" applyFont="1" applyFill="1" applyBorder="1" applyAlignment="1">
      <alignment horizontal="center" vertical="center" wrapText="1"/>
    </xf>
    <xf numFmtId="164" fontId="4" fillId="0" borderId="92" xfId="0" applyNumberFormat="1" applyFont="1" applyFill="1" applyBorder="1" applyAlignment="1">
      <alignment horizontal="center" vertical="center" wrapText="1"/>
    </xf>
    <xf numFmtId="0" fontId="4" fillId="0" borderId="93" xfId="0" applyFont="1" applyFill="1" applyBorder="1" applyAlignment="1">
      <alignment horizontal="center" vertical="center" wrapText="1"/>
    </xf>
    <xf numFmtId="164" fontId="4" fillId="0" borderId="94" xfId="0" applyNumberFormat="1" applyFont="1" applyFill="1" applyBorder="1" applyAlignment="1">
      <alignment horizontal="center" vertical="center" wrapText="1"/>
    </xf>
    <xf numFmtId="164" fontId="4" fillId="0" borderId="95" xfId="0" applyNumberFormat="1" applyFont="1" applyFill="1" applyBorder="1" applyAlignment="1">
      <alignment horizontal="center" vertical="center" wrapText="1"/>
    </xf>
    <xf numFmtId="0" fontId="4" fillId="0" borderId="96" xfId="0" applyFont="1" applyFill="1" applyBorder="1" applyAlignment="1">
      <alignment horizontal="center" vertical="center" wrapText="1"/>
    </xf>
    <xf numFmtId="0" fontId="4" fillId="0" borderId="97" xfId="0" applyFont="1" applyFill="1" applyBorder="1" applyAlignment="1">
      <alignment horizontal="center" vertical="center" wrapText="1"/>
    </xf>
    <xf numFmtId="164" fontId="4" fillId="0" borderId="98" xfId="0" applyNumberFormat="1" applyFont="1" applyFill="1" applyBorder="1" applyAlignment="1">
      <alignment horizontal="center" vertical="center" wrapText="1"/>
    </xf>
    <xf numFmtId="0" fontId="4" fillId="0" borderId="99" xfId="0" applyFont="1" applyFill="1" applyBorder="1" applyAlignment="1">
      <alignment horizontal="center" vertical="center" wrapText="1"/>
    </xf>
    <xf numFmtId="164" fontId="4" fillId="0" borderId="99" xfId="0" applyNumberFormat="1" applyFont="1" applyFill="1" applyBorder="1" applyAlignment="1">
      <alignment horizontal="center" vertical="center" wrapText="1"/>
    </xf>
    <xf numFmtId="164" fontId="4" fillId="0" borderId="100" xfId="0" applyNumberFormat="1" applyFont="1" applyFill="1" applyBorder="1" applyAlignment="1">
      <alignment horizontal="center" vertical="center" wrapText="1"/>
    </xf>
    <xf numFmtId="0" fontId="4" fillId="0" borderId="101" xfId="0" applyFont="1" applyFill="1" applyBorder="1" applyAlignment="1">
      <alignment horizontal="center" vertical="center" wrapText="1"/>
    </xf>
    <xf numFmtId="164" fontId="4" fillId="0" borderId="102" xfId="0" applyNumberFormat="1" applyFont="1" applyFill="1" applyBorder="1" applyAlignment="1">
      <alignment horizontal="center" vertical="center" wrapText="1"/>
    </xf>
    <xf numFmtId="164" fontId="4" fillId="0" borderId="103" xfId="0" applyNumberFormat="1" applyFont="1" applyFill="1" applyBorder="1" applyAlignment="1">
      <alignment horizontal="center" vertical="center" wrapText="1"/>
    </xf>
    <xf numFmtId="0" fontId="4" fillId="0" borderId="104" xfId="0" applyFont="1" applyFill="1" applyBorder="1" applyAlignment="1">
      <alignment horizontal="center" vertical="center" wrapText="1"/>
    </xf>
    <xf numFmtId="0" fontId="4" fillId="0" borderId="105" xfId="0" applyFont="1" applyFill="1" applyBorder="1" applyAlignment="1">
      <alignment horizontal="center" vertical="center" wrapText="1"/>
    </xf>
    <xf numFmtId="164" fontId="4" fillId="0" borderId="106" xfId="0" applyNumberFormat="1" applyFont="1" applyFill="1" applyBorder="1" applyAlignment="1">
      <alignment horizontal="center" vertical="center" wrapText="1"/>
    </xf>
    <xf numFmtId="0" fontId="4" fillId="0" borderId="107" xfId="0" applyFont="1" applyFill="1" applyBorder="1" applyAlignment="1">
      <alignment horizontal="center" vertical="center" wrapText="1"/>
    </xf>
    <xf numFmtId="164" fontId="4" fillId="0" borderId="107" xfId="0" applyNumberFormat="1" applyFont="1" applyFill="1" applyBorder="1" applyAlignment="1">
      <alignment horizontal="center" vertical="center" wrapText="1"/>
    </xf>
    <xf numFmtId="164" fontId="4" fillId="0" borderId="108" xfId="0" applyNumberFormat="1" applyFont="1" applyFill="1" applyBorder="1" applyAlignment="1">
      <alignment horizontal="center" vertical="center" wrapText="1"/>
    </xf>
    <xf numFmtId="0" fontId="4" fillId="0" borderId="109" xfId="0" applyFont="1" applyFill="1" applyBorder="1" applyAlignment="1">
      <alignment horizontal="center" vertical="center" wrapText="1"/>
    </xf>
    <xf numFmtId="164" fontId="4" fillId="0" borderId="110" xfId="0" applyNumberFormat="1" applyFont="1" applyFill="1" applyBorder="1" applyAlignment="1">
      <alignment horizontal="center" vertical="center" wrapText="1"/>
    </xf>
    <xf numFmtId="164" fontId="4" fillId="0" borderId="111" xfId="0" applyNumberFormat="1" applyFont="1" applyFill="1" applyBorder="1" applyAlignment="1">
      <alignment horizontal="center" vertical="center" wrapText="1"/>
    </xf>
    <xf numFmtId="0" fontId="4" fillId="0" borderId="112" xfId="0" applyFont="1" applyFill="1" applyBorder="1" applyAlignment="1">
      <alignment horizontal="center" vertical="center" wrapText="1"/>
    </xf>
    <xf numFmtId="0" fontId="4" fillId="0" borderId="113" xfId="0" applyFont="1" applyFill="1" applyBorder="1" applyAlignment="1">
      <alignment horizontal="center" vertical="center" wrapText="1"/>
    </xf>
    <xf numFmtId="164" fontId="4" fillId="0" borderId="114" xfId="0" applyNumberFormat="1" applyFont="1" applyFill="1" applyBorder="1" applyAlignment="1">
      <alignment horizontal="center" vertical="center" wrapText="1"/>
    </xf>
    <xf numFmtId="0" fontId="4" fillId="0" borderId="115" xfId="0" applyFont="1" applyFill="1" applyBorder="1" applyAlignment="1">
      <alignment horizontal="center" vertical="center" wrapText="1"/>
    </xf>
    <xf numFmtId="164" fontId="4" fillId="0" borderId="115" xfId="0" applyNumberFormat="1" applyFont="1" applyFill="1" applyBorder="1" applyAlignment="1">
      <alignment horizontal="center" vertical="center" wrapText="1"/>
    </xf>
    <xf numFmtId="164" fontId="4" fillId="0" borderId="116" xfId="0" applyNumberFormat="1" applyFont="1" applyFill="1" applyBorder="1" applyAlignment="1">
      <alignment horizontal="center" vertical="center" wrapText="1"/>
    </xf>
    <xf numFmtId="0" fontId="4" fillId="0" borderId="117" xfId="0" applyFont="1" applyFill="1" applyBorder="1" applyAlignment="1">
      <alignment horizontal="center" vertical="center" wrapText="1"/>
    </xf>
    <xf numFmtId="164" fontId="4" fillId="0" borderId="118" xfId="0" applyNumberFormat="1" applyFont="1" applyFill="1" applyBorder="1" applyAlignment="1">
      <alignment horizontal="center" vertical="center" wrapText="1"/>
    </xf>
    <xf numFmtId="164" fontId="4" fillId="0" borderId="119" xfId="0" applyNumberFormat="1" applyFont="1" applyFill="1" applyBorder="1" applyAlignment="1">
      <alignment horizontal="center" vertical="center" wrapText="1"/>
    </xf>
    <xf numFmtId="0" fontId="4" fillId="0" borderId="120" xfId="0" applyFont="1" applyFill="1" applyBorder="1" applyAlignment="1">
      <alignment horizontal="center" vertical="center" wrapText="1"/>
    </xf>
    <xf numFmtId="0" fontId="4" fillId="0" borderId="121" xfId="0" applyFont="1" applyFill="1" applyBorder="1" applyAlignment="1">
      <alignment horizontal="center" vertical="center" wrapText="1"/>
    </xf>
    <xf numFmtId="164" fontId="4" fillId="0" borderId="122" xfId="0" applyNumberFormat="1" applyFont="1" applyFill="1" applyBorder="1" applyAlignment="1">
      <alignment horizontal="center" vertical="center" wrapText="1"/>
    </xf>
    <xf numFmtId="0" fontId="4" fillId="0" borderId="123" xfId="0" applyFont="1" applyFill="1" applyBorder="1" applyAlignment="1">
      <alignment horizontal="center" vertical="center" wrapText="1"/>
    </xf>
    <xf numFmtId="164" fontId="4" fillId="0" borderId="123" xfId="0" applyNumberFormat="1" applyFont="1" applyFill="1" applyBorder="1" applyAlignment="1">
      <alignment horizontal="center" vertical="center" wrapText="1"/>
    </xf>
    <xf numFmtId="164" fontId="4" fillId="0" borderId="124" xfId="0" applyNumberFormat="1" applyFont="1" applyFill="1" applyBorder="1" applyAlignment="1">
      <alignment horizontal="center" vertical="center" wrapText="1"/>
    </xf>
    <xf numFmtId="0" fontId="4" fillId="0" borderId="125" xfId="0" applyFont="1" applyFill="1" applyBorder="1" applyAlignment="1">
      <alignment horizontal="center" vertical="center" wrapText="1"/>
    </xf>
    <xf numFmtId="164" fontId="4" fillId="0" borderId="126" xfId="0" applyNumberFormat="1" applyFont="1" applyFill="1" applyBorder="1" applyAlignment="1">
      <alignment horizontal="center" vertical="center" wrapText="1"/>
    </xf>
    <xf numFmtId="164" fontId="4" fillId="0" borderId="127" xfId="0" applyNumberFormat="1" applyFont="1" applyFill="1" applyBorder="1" applyAlignment="1">
      <alignment horizontal="center" vertical="center" wrapText="1"/>
    </xf>
    <xf numFmtId="0" fontId="4" fillId="0" borderId="128" xfId="0" applyFont="1" applyFill="1" applyBorder="1" applyAlignment="1">
      <alignment horizontal="center" vertical="center" wrapText="1"/>
    </xf>
    <xf numFmtId="0" fontId="4" fillId="0" borderId="129" xfId="0" applyFont="1" applyFill="1" applyBorder="1" applyAlignment="1">
      <alignment horizontal="center" vertical="center" wrapText="1"/>
    </xf>
    <xf numFmtId="164" fontId="4" fillId="0" borderId="130" xfId="0" applyNumberFormat="1" applyFont="1" applyFill="1" applyBorder="1" applyAlignment="1">
      <alignment horizontal="center" vertical="center" wrapText="1"/>
    </xf>
    <xf numFmtId="0" fontId="4" fillId="0" borderId="131" xfId="0" applyFont="1" applyFill="1" applyBorder="1" applyAlignment="1">
      <alignment horizontal="center" vertical="center" wrapText="1"/>
    </xf>
    <xf numFmtId="164" fontId="4" fillId="0" borderId="131" xfId="0" applyNumberFormat="1" applyFont="1" applyFill="1" applyBorder="1" applyAlignment="1">
      <alignment horizontal="center" vertical="center" wrapText="1"/>
    </xf>
    <xf numFmtId="164" fontId="4" fillId="0" borderId="132" xfId="0" applyNumberFormat="1" applyFont="1" applyFill="1" applyBorder="1" applyAlignment="1">
      <alignment horizontal="center" vertical="center" wrapText="1"/>
    </xf>
    <xf numFmtId="0" fontId="4" fillId="0" borderId="133" xfId="0" applyFont="1" applyFill="1" applyBorder="1" applyAlignment="1">
      <alignment horizontal="center" vertical="center" wrapText="1"/>
    </xf>
    <xf numFmtId="164" fontId="4" fillId="0" borderId="134" xfId="0" applyNumberFormat="1" applyFont="1" applyFill="1" applyBorder="1" applyAlignment="1">
      <alignment horizontal="center" vertical="center" wrapText="1"/>
    </xf>
    <xf numFmtId="164" fontId="4" fillId="0" borderId="135" xfId="0" applyNumberFormat="1" applyFont="1" applyFill="1" applyBorder="1" applyAlignment="1">
      <alignment horizontal="center" vertical="center" wrapText="1"/>
    </xf>
    <xf numFmtId="0" fontId="4" fillId="0" borderId="136" xfId="0" applyFont="1" applyFill="1" applyBorder="1" applyAlignment="1">
      <alignment horizontal="center" vertical="center" wrapText="1"/>
    </xf>
    <xf numFmtId="0" fontId="4" fillId="0" borderId="137" xfId="0" applyFont="1" applyFill="1" applyBorder="1" applyAlignment="1">
      <alignment horizontal="center" vertical="center" wrapText="1"/>
    </xf>
    <xf numFmtId="164" fontId="4" fillId="0" borderId="138" xfId="0" applyNumberFormat="1" applyFont="1" applyFill="1" applyBorder="1" applyAlignment="1">
      <alignment horizontal="center" vertical="center" wrapText="1"/>
    </xf>
    <xf numFmtId="0" fontId="4" fillId="0" borderId="139" xfId="0" applyFont="1" applyFill="1" applyBorder="1" applyAlignment="1">
      <alignment horizontal="center" vertical="center" wrapText="1"/>
    </xf>
    <xf numFmtId="164" fontId="4" fillId="0" borderId="139" xfId="0" applyNumberFormat="1" applyFont="1" applyFill="1" applyBorder="1" applyAlignment="1">
      <alignment horizontal="center" vertical="center" wrapText="1"/>
    </xf>
    <xf numFmtId="164" fontId="4" fillId="0" borderId="140" xfId="0" applyNumberFormat="1" applyFont="1" applyFill="1" applyBorder="1" applyAlignment="1">
      <alignment horizontal="center" vertical="center" wrapText="1"/>
    </xf>
    <xf numFmtId="0" fontId="4" fillId="0" borderId="141" xfId="0" applyFont="1" applyFill="1" applyBorder="1" applyAlignment="1">
      <alignment horizontal="center" vertical="center" wrapText="1"/>
    </xf>
    <xf numFmtId="164" fontId="4" fillId="0" borderId="142" xfId="0" applyNumberFormat="1" applyFont="1" applyFill="1" applyBorder="1" applyAlignment="1">
      <alignment horizontal="center" vertical="center" wrapText="1"/>
    </xf>
    <xf numFmtId="164" fontId="4" fillId="0" borderId="143" xfId="0" applyNumberFormat="1" applyFont="1" applyFill="1" applyBorder="1" applyAlignment="1">
      <alignment horizontal="center" vertical="center" wrapText="1"/>
    </xf>
    <xf numFmtId="0" fontId="4" fillId="0" borderId="144" xfId="0" applyFont="1" applyFill="1" applyBorder="1" applyAlignment="1">
      <alignment horizontal="center" vertical="center" wrapText="1"/>
    </xf>
    <xf numFmtId="0" fontId="4" fillId="0" borderId="145" xfId="0" applyFont="1" applyFill="1" applyBorder="1" applyAlignment="1">
      <alignment horizontal="center" vertical="center" wrapText="1"/>
    </xf>
    <xf numFmtId="0" fontId="4" fillId="2" borderId="147" xfId="0" applyFont="1" applyFill="1" applyBorder="1" applyAlignment="1">
      <alignment horizontal="center" vertical="top"/>
    </xf>
    <xf numFmtId="0" fontId="4" fillId="2" borderId="148" xfId="0" applyFont="1" applyFill="1" applyBorder="1" applyAlignment="1">
      <alignment horizontal="center" vertical="top"/>
    </xf>
    <xf numFmtId="0" fontId="4" fillId="2" borderId="149" xfId="0" applyFont="1" applyFill="1" applyBorder="1" applyAlignment="1">
      <alignment horizontal="center" vertical="top"/>
    </xf>
    <xf numFmtId="0" fontId="4" fillId="3" borderId="147" xfId="0" applyFont="1" applyFill="1" applyBorder="1" applyAlignment="1">
      <alignment horizontal="center" vertical="top"/>
    </xf>
    <xf numFmtId="0" fontId="4" fillId="3" borderId="148" xfId="0" applyFont="1" applyFill="1" applyBorder="1" applyAlignment="1">
      <alignment horizontal="center" vertical="top"/>
    </xf>
    <xf numFmtId="0" fontId="4" fillId="3" borderId="149" xfId="0" applyFont="1" applyFill="1" applyBorder="1" applyAlignment="1">
      <alignment horizontal="center" vertical="top"/>
    </xf>
    <xf numFmtId="0" fontId="4" fillId="0" borderId="146" xfId="0" applyFont="1" applyFill="1" applyBorder="1" applyAlignment="1">
      <alignment horizontal="center" vertical="center"/>
    </xf>
    <xf numFmtId="164" fontId="4" fillId="0" borderId="146" xfId="0" applyNumberFormat="1" applyFont="1" applyFill="1" applyBorder="1" applyAlignment="1">
      <alignment horizontal="center" vertical="top" wrapText="1"/>
    </xf>
    <xf numFmtId="0" fontId="4" fillId="0" borderId="146" xfId="0" applyFont="1" applyFill="1" applyBorder="1" applyAlignment="1">
      <alignment horizontal="center" vertical="top" wrapText="1"/>
    </xf>
    <xf numFmtId="0" fontId="4" fillId="3" borderId="146" xfId="0" applyFont="1" applyFill="1" applyBorder="1" applyAlignment="1">
      <alignment horizontal="center" vertical="top"/>
    </xf>
    <xf numFmtId="0" fontId="4" fillId="6" borderId="146" xfId="0" applyFont="1" applyFill="1" applyBorder="1" applyAlignment="1">
      <alignment horizontal="center" vertical="center"/>
    </xf>
    <xf numFmtId="0" fontId="4" fillId="5" borderId="146" xfId="0" applyFont="1" applyFill="1" applyBorder="1" applyAlignment="1">
      <alignment horizontal="center" vertical="center" wrapText="1"/>
    </xf>
    <xf numFmtId="0" fontId="4" fillId="5" borderId="146" xfId="0" applyFont="1" applyFill="1" applyBorder="1" applyAlignment="1">
      <alignment horizontal="center" vertical="center"/>
    </xf>
    <xf numFmtId="0" fontId="4" fillId="0" borderId="150" xfId="0" applyFont="1" applyFill="1" applyBorder="1" applyAlignment="1">
      <alignment horizontal="center" vertical="top"/>
    </xf>
    <xf numFmtId="0" fontId="4" fillId="6" borderId="146" xfId="0" applyFont="1" applyFill="1" applyBorder="1" applyAlignment="1">
      <alignment horizontal="center" vertical="center" wrapText="1"/>
    </xf>
    <xf numFmtId="0" fontId="4" fillId="6" borderId="146" xfId="0" applyFont="1" applyFill="1" applyBorder="1" applyAlignment="1">
      <alignment horizontal="center" vertical="top"/>
    </xf>
    <xf numFmtId="0" fontId="4" fillId="7" borderId="146" xfId="0" applyFont="1" applyFill="1" applyBorder="1" applyAlignment="1">
      <alignment horizontal="left" vertical="top"/>
    </xf>
    <xf numFmtId="0" fontId="4" fillId="7" borderId="146" xfId="0" applyFont="1" applyFill="1" applyBorder="1" applyAlignment="1">
      <alignment horizontal="right" vertical="top"/>
    </xf>
    <xf numFmtId="164" fontId="4" fillId="0" borderId="19" xfId="0" applyNumberFormat="1" applyFont="1" applyFill="1" applyBorder="1" applyAlignment="1">
      <alignment horizontal="right" vertical="center" wrapText="1"/>
    </xf>
    <xf numFmtId="164" fontId="4" fillId="0" borderId="20" xfId="0" applyNumberFormat="1" applyFont="1" applyFill="1" applyBorder="1" applyAlignment="1">
      <alignment horizontal="right" vertical="center" wrapText="1"/>
    </xf>
    <xf numFmtId="164" fontId="4" fillId="0" borderId="27" xfId="0" applyNumberFormat="1" applyFont="1" applyFill="1" applyBorder="1" applyAlignment="1">
      <alignment horizontal="right" vertical="center" wrapText="1"/>
    </xf>
    <xf numFmtId="164" fontId="4" fillId="0" borderId="28" xfId="0" applyNumberFormat="1" applyFont="1" applyFill="1" applyBorder="1" applyAlignment="1">
      <alignment horizontal="right" vertical="center" wrapText="1"/>
    </xf>
    <xf numFmtId="164" fontId="4" fillId="0" borderId="35" xfId="0" applyNumberFormat="1" applyFont="1" applyFill="1" applyBorder="1" applyAlignment="1">
      <alignment horizontal="right" vertical="center" wrapText="1"/>
    </xf>
    <xf numFmtId="164" fontId="4" fillId="0" borderId="36" xfId="0" applyNumberFormat="1" applyFont="1" applyFill="1" applyBorder="1" applyAlignment="1">
      <alignment horizontal="right" vertical="center" wrapText="1"/>
    </xf>
    <xf numFmtId="164" fontId="4" fillId="0" borderId="43" xfId="0" applyNumberFormat="1" applyFont="1" applyFill="1" applyBorder="1" applyAlignment="1">
      <alignment horizontal="right" vertical="center" wrapText="1"/>
    </xf>
    <xf numFmtId="164" fontId="4" fillId="0" borderId="44" xfId="0" applyNumberFormat="1" applyFont="1" applyFill="1" applyBorder="1" applyAlignment="1">
      <alignment horizontal="right" vertical="center" wrapText="1"/>
    </xf>
    <xf numFmtId="164" fontId="4" fillId="0" borderId="51" xfId="0" applyNumberFormat="1" applyFont="1" applyFill="1" applyBorder="1" applyAlignment="1">
      <alignment horizontal="right" vertical="center" wrapText="1"/>
    </xf>
    <xf numFmtId="164" fontId="4" fillId="0" borderId="52" xfId="0" applyNumberFormat="1" applyFont="1" applyFill="1" applyBorder="1" applyAlignment="1">
      <alignment horizontal="right" vertical="center" wrapText="1"/>
    </xf>
    <xf numFmtId="164" fontId="4" fillId="0" borderId="59" xfId="0" applyNumberFormat="1" applyFont="1" applyFill="1" applyBorder="1" applyAlignment="1">
      <alignment horizontal="right" vertical="center" wrapText="1"/>
    </xf>
    <xf numFmtId="164" fontId="4" fillId="0" borderId="60" xfId="0" applyNumberFormat="1" applyFont="1" applyFill="1" applyBorder="1" applyAlignment="1">
      <alignment horizontal="right" vertical="center" wrapText="1"/>
    </xf>
    <xf numFmtId="164" fontId="4" fillId="0" borderId="67" xfId="0" applyNumberFormat="1" applyFont="1" applyFill="1" applyBorder="1" applyAlignment="1">
      <alignment horizontal="right" vertical="center" wrapText="1"/>
    </xf>
    <xf numFmtId="164" fontId="4" fillId="0" borderId="68" xfId="0" applyNumberFormat="1" applyFont="1" applyFill="1" applyBorder="1" applyAlignment="1">
      <alignment horizontal="right" vertical="center" wrapText="1"/>
    </xf>
    <xf numFmtId="164" fontId="4" fillId="0" borderId="75" xfId="0" applyNumberFormat="1" applyFont="1" applyFill="1" applyBorder="1" applyAlignment="1">
      <alignment horizontal="right" vertical="center" wrapText="1"/>
    </xf>
    <xf numFmtId="164" fontId="4" fillId="0" borderId="76" xfId="0" applyNumberFormat="1" applyFont="1" applyFill="1" applyBorder="1" applyAlignment="1">
      <alignment horizontal="right" vertical="center" wrapText="1"/>
    </xf>
    <xf numFmtId="164" fontId="4" fillId="0" borderId="83" xfId="0" applyNumberFormat="1" applyFont="1" applyFill="1" applyBorder="1" applyAlignment="1">
      <alignment horizontal="right" vertical="center" wrapText="1"/>
    </xf>
    <xf numFmtId="164" fontId="4" fillId="0" borderId="84" xfId="0" applyNumberFormat="1" applyFont="1" applyFill="1" applyBorder="1" applyAlignment="1">
      <alignment horizontal="right" vertical="center" wrapText="1"/>
    </xf>
    <xf numFmtId="164" fontId="4" fillId="0" borderId="91" xfId="0" applyNumberFormat="1" applyFont="1" applyFill="1" applyBorder="1" applyAlignment="1">
      <alignment horizontal="right" vertical="center" wrapText="1"/>
    </xf>
    <xf numFmtId="164" fontId="4" fillId="0" borderId="92" xfId="0" applyNumberFormat="1" applyFont="1" applyFill="1" applyBorder="1" applyAlignment="1">
      <alignment horizontal="right" vertical="center" wrapText="1"/>
    </xf>
    <xf numFmtId="164" fontId="4" fillId="0" borderId="99" xfId="0" applyNumberFormat="1" applyFont="1" applyFill="1" applyBorder="1" applyAlignment="1">
      <alignment horizontal="right" vertical="center" wrapText="1"/>
    </xf>
    <xf numFmtId="164" fontId="4" fillId="0" borderId="100" xfId="0" applyNumberFormat="1" applyFont="1" applyFill="1" applyBorder="1" applyAlignment="1">
      <alignment horizontal="right" vertical="center" wrapText="1"/>
    </xf>
    <xf numFmtId="164" fontId="4" fillId="0" borderId="107" xfId="0" applyNumberFormat="1" applyFont="1" applyFill="1" applyBorder="1" applyAlignment="1">
      <alignment horizontal="right" vertical="center" wrapText="1"/>
    </xf>
    <xf numFmtId="164" fontId="4" fillId="0" borderId="108" xfId="0" applyNumberFormat="1" applyFont="1" applyFill="1" applyBorder="1" applyAlignment="1">
      <alignment horizontal="right" vertical="center" wrapText="1"/>
    </xf>
    <xf numFmtId="164" fontId="4" fillId="0" borderId="115" xfId="0" applyNumberFormat="1" applyFont="1" applyFill="1" applyBorder="1" applyAlignment="1">
      <alignment horizontal="right" vertical="center" wrapText="1"/>
    </xf>
    <xf numFmtId="164" fontId="4" fillId="0" borderId="116" xfId="0" applyNumberFormat="1" applyFont="1" applyFill="1" applyBorder="1" applyAlignment="1">
      <alignment horizontal="right" vertical="center" wrapText="1"/>
    </xf>
    <xf numFmtId="164" fontId="4" fillId="0" borderId="123" xfId="0" applyNumberFormat="1" applyFont="1" applyFill="1" applyBorder="1" applyAlignment="1">
      <alignment horizontal="right" vertical="center" wrapText="1"/>
    </xf>
    <xf numFmtId="164" fontId="4" fillId="0" borderId="124" xfId="0" applyNumberFormat="1" applyFont="1" applyFill="1" applyBorder="1" applyAlignment="1">
      <alignment horizontal="right" vertical="center" wrapText="1"/>
    </xf>
    <xf numFmtId="164" fontId="4" fillId="0" borderId="131" xfId="0" applyNumberFormat="1" applyFont="1" applyFill="1" applyBorder="1" applyAlignment="1">
      <alignment horizontal="right" vertical="center" wrapText="1"/>
    </xf>
    <xf numFmtId="164" fontId="4" fillId="0" borderId="132" xfId="0" applyNumberFormat="1" applyFont="1" applyFill="1" applyBorder="1" applyAlignment="1">
      <alignment horizontal="right" vertical="center" wrapText="1"/>
    </xf>
    <xf numFmtId="164" fontId="4" fillId="0" borderId="139" xfId="0" applyNumberFormat="1" applyFont="1" applyFill="1" applyBorder="1" applyAlignment="1">
      <alignment horizontal="right" vertical="center" wrapText="1"/>
    </xf>
    <xf numFmtId="164" fontId="4" fillId="0" borderId="140" xfId="0" applyNumberFormat="1" applyFont="1" applyFill="1" applyBorder="1" applyAlignment="1">
      <alignment horizontal="right" vertical="center" wrapText="1"/>
    </xf>
    <xf numFmtId="164" fontId="4" fillId="0" borderId="18" xfId="0" applyNumberFormat="1" applyFont="1" applyFill="1" applyBorder="1" applyAlignment="1">
      <alignment horizontal="right" vertical="center" wrapText="1"/>
    </xf>
    <xf numFmtId="164" fontId="4" fillId="0" borderId="26" xfId="0" applyNumberFormat="1" applyFont="1" applyFill="1" applyBorder="1" applyAlignment="1">
      <alignment horizontal="right" vertical="center" wrapText="1"/>
    </xf>
    <xf numFmtId="164" fontId="4" fillId="0" borderId="34" xfId="0" applyNumberFormat="1" applyFont="1" applyFill="1" applyBorder="1" applyAlignment="1">
      <alignment horizontal="right" vertical="center" wrapText="1"/>
    </xf>
    <xf numFmtId="164" fontId="4" fillId="0" borderId="42" xfId="0" applyNumberFormat="1" applyFont="1" applyFill="1" applyBorder="1" applyAlignment="1">
      <alignment horizontal="right" vertical="center" wrapText="1"/>
    </xf>
    <xf numFmtId="164" fontId="4" fillId="0" borderId="50" xfId="0" applyNumberFormat="1" applyFont="1" applyFill="1" applyBorder="1" applyAlignment="1">
      <alignment horizontal="right" vertical="center" wrapText="1"/>
    </xf>
    <xf numFmtId="164" fontId="4" fillId="0" borderId="58" xfId="0" applyNumberFormat="1" applyFont="1" applyFill="1" applyBorder="1" applyAlignment="1">
      <alignment horizontal="right" vertical="center" wrapText="1"/>
    </xf>
    <xf numFmtId="164" fontId="4" fillId="0" borderId="66" xfId="0" applyNumberFormat="1" applyFont="1" applyFill="1" applyBorder="1" applyAlignment="1">
      <alignment horizontal="right" vertical="center" wrapText="1"/>
    </xf>
    <xf numFmtId="164" fontId="4" fillId="0" borderId="74" xfId="0" applyNumberFormat="1" applyFont="1" applyFill="1" applyBorder="1" applyAlignment="1">
      <alignment horizontal="right" vertical="center" wrapText="1"/>
    </xf>
    <xf numFmtId="164" fontId="4" fillId="0" borderId="82" xfId="0" applyNumberFormat="1" applyFont="1" applyFill="1" applyBorder="1" applyAlignment="1">
      <alignment horizontal="right" vertical="center" wrapText="1"/>
    </xf>
    <xf numFmtId="164" fontId="4" fillId="0" borderId="90" xfId="0" applyNumberFormat="1" applyFont="1" applyFill="1" applyBorder="1" applyAlignment="1">
      <alignment horizontal="right" vertical="center" wrapText="1"/>
    </xf>
    <xf numFmtId="164" fontId="4" fillId="0" borderId="98" xfId="0" applyNumberFormat="1" applyFont="1" applyFill="1" applyBorder="1" applyAlignment="1">
      <alignment horizontal="right" vertical="center" wrapText="1"/>
    </xf>
    <xf numFmtId="164" fontId="4" fillId="0" borderId="106" xfId="0" applyNumberFormat="1" applyFont="1" applyFill="1" applyBorder="1" applyAlignment="1">
      <alignment horizontal="right" vertical="center" wrapText="1"/>
    </xf>
    <xf numFmtId="164" fontId="4" fillId="0" borderId="114" xfId="0" applyNumberFormat="1" applyFont="1" applyFill="1" applyBorder="1" applyAlignment="1">
      <alignment horizontal="right" vertical="center" wrapText="1"/>
    </xf>
    <xf numFmtId="164" fontId="4" fillId="0" borderId="122" xfId="0" applyNumberFormat="1" applyFont="1" applyFill="1" applyBorder="1" applyAlignment="1">
      <alignment horizontal="right" vertical="center" wrapText="1"/>
    </xf>
    <xf numFmtId="164" fontId="4" fillId="0" borderId="130" xfId="0" applyNumberFormat="1" applyFont="1" applyFill="1" applyBorder="1" applyAlignment="1">
      <alignment horizontal="right" vertical="center" wrapText="1"/>
    </xf>
    <xf numFmtId="164" fontId="4" fillId="0" borderId="138" xfId="0" applyNumberFormat="1" applyFont="1" applyFill="1" applyBorder="1" applyAlignment="1">
      <alignment horizontal="right" vertical="center" wrapText="1"/>
    </xf>
    <xf numFmtId="164" fontId="4" fillId="0" borderId="22" xfId="0" applyNumberFormat="1" applyFont="1" applyFill="1" applyBorder="1" applyAlignment="1">
      <alignment horizontal="right" vertical="center" wrapText="1"/>
    </xf>
    <xf numFmtId="164" fontId="4" fillId="0" borderId="23" xfId="0" applyNumberFormat="1" applyFont="1" applyFill="1" applyBorder="1" applyAlignment="1">
      <alignment horizontal="right" vertical="center" wrapText="1"/>
    </xf>
    <xf numFmtId="164" fontId="4" fillId="0" borderId="30" xfId="0" applyNumberFormat="1" applyFont="1" applyFill="1" applyBorder="1" applyAlignment="1">
      <alignment horizontal="right" vertical="center" wrapText="1"/>
    </xf>
    <xf numFmtId="164" fontId="4" fillId="0" borderId="31" xfId="0" applyNumberFormat="1" applyFont="1" applyFill="1" applyBorder="1" applyAlignment="1">
      <alignment horizontal="right" vertical="center" wrapText="1"/>
    </xf>
    <xf numFmtId="164" fontId="4" fillId="0" borderId="38" xfId="0" applyNumberFormat="1" applyFont="1" applyFill="1" applyBorder="1" applyAlignment="1">
      <alignment horizontal="right" vertical="center" wrapText="1"/>
    </xf>
    <xf numFmtId="164" fontId="4" fillId="0" borderId="39" xfId="0" applyNumberFormat="1" applyFont="1" applyFill="1" applyBorder="1" applyAlignment="1">
      <alignment horizontal="right" vertical="center" wrapText="1"/>
    </xf>
    <xf numFmtId="164" fontId="4" fillId="0" borderId="46" xfId="0" applyNumberFormat="1" applyFont="1" applyFill="1" applyBorder="1" applyAlignment="1">
      <alignment horizontal="right" vertical="center" wrapText="1"/>
    </xf>
    <xf numFmtId="164" fontId="4" fillId="0" borderId="47" xfId="0" applyNumberFormat="1" applyFont="1" applyFill="1" applyBorder="1" applyAlignment="1">
      <alignment horizontal="right" vertical="center" wrapText="1"/>
    </xf>
    <xf numFmtId="164" fontId="4" fillId="0" borderId="54" xfId="0" applyNumberFormat="1" applyFont="1" applyFill="1" applyBorder="1" applyAlignment="1">
      <alignment horizontal="right" vertical="center" wrapText="1"/>
    </xf>
    <xf numFmtId="164" fontId="4" fillId="0" borderId="55" xfId="0" applyNumberFormat="1" applyFont="1" applyFill="1" applyBorder="1" applyAlignment="1">
      <alignment horizontal="right" vertical="center" wrapText="1"/>
    </xf>
    <xf numFmtId="164" fontId="4" fillId="0" borderId="62" xfId="0" applyNumberFormat="1" applyFont="1" applyFill="1" applyBorder="1" applyAlignment="1">
      <alignment horizontal="right" vertical="center" wrapText="1"/>
    </xf>
    <xf numFmtId="164" fontId="4" fillId="0" borderId="63" xfId="0" applyNumberFormat="1" applyFont="1" applyFill="1" applyBorder="1" applyAlignment="1">
      <alignment horizontal="right" vertical="center" wrapText="1"/>
    </xf>
    <xf numFmtId="164" fontId="4" fillId="0" borderId="70" xfId="0" applyNumberFormat="1" applyFont="1" applyFill="1" applyBorder="1" applyAlignment="1">
      <alignment horizontal="right" vertical="center" wrapText="1"/>
    </xf>
    <xf numFmtId="164" fontId="4" fillId="0" borderId="71" xfId="0" applyNumberFormat="1" applyFont="1" applyFill="1" applyBorder="1" applyAlignment="1">
      <alignment horizontal="right" vertical="center" wrapText="1"/>
    </xf>
    <xf numFmtId="164" fontId="4" fillId="0" borderId="78" xfId="0" applyNumberFormat="1" applyFont="1" applyFill="1" applyBorder="1" applyAlignment="1">
      <alignment horizontal="right" vertical="center" wrapText="1"/>
    </xf>
    <xf numFmtId="164" fontId="4" fillId="0" borderId="79" xfId="0" applyNumberFormat="1" applyFont="1" applyFill="1" applyBorder="1" applyAlignment="1">
      <alignment horizontal="right" vertical="center" wrapText="1"/>
    </xf>
    <xf numFmtId="164" fontId="4" fillId="0" borderId="86" xfId="0" applyNumberFormat="1" applyFont="1" applyFill="1" applyBorder="1" applyAlignment="1">
      <alignment horizontal="right" vertical="center" wrapText="1"/>
    </xf>
    <xf numFmtId="164" fontId="4" fillId="0" borderId="87" xfId="0" applyNumberFormat="1" applyFont="1" applyFill="1" applyBorder="1" applyAlignment="1">
      <alignment horizontal="right" vertical="center" wrapText="1"/>
    </xf>
    <xf numFmtId="164" fontId="4" fillId="0" borderId="94" xfId="0" applyNumberFormat="1" applyFont="1" applyFill="1" applyBorder="1" applyAlignment="1">
      <alignment horizontal="right" vertical="center" wrapText="1"/>
    </xf>
    <xf numFmtId="164" fontId="4" fillId="0" borderId="95" xfId="0" applyNumberFormat="1" applyFont="1" applyFill="1" applyBorder="1" applyAlignment="1">
      <alignment horizontal="right" vertical="center" wrapText="1"/>
    </xf>
    <xf numFmtId="164" fontId="4" fillId="0" borderId="102" xfId="0" applyNumberFormat="1" applyFont="1" applyFill="1" applyBorder="1" applyAlignment="1">
      <alignment horizontal="right" vertical="center" wrapText="1"/>
    </xf>
    <xf numFmtId="164" fontId="4" fillId="0" borderId="103" xfId="0" applyNumberFormat="1" applyFont="1" applyFill="1" applyBorder="1" applyAlignment="1">
      <alignment horizontal="right" vertical="center" wrapText="1"/>
    </xf>
    <xf numFmtId="164" fontId="4" fillId="0" borderId="110" xfId="0" applyNumberFormat="1" applyFont="1" applyFill="1" applyBorder="1" applyAlignment="1">
      <alignment horizontal="right" vertical="center" wrapText="1"/>
    </xf>
    <xf numFmtId="164" fontId="4" fillId="0" borderId="111" xfId="0" applyNumberFormat="1" applyFont="1" applyFill="1" applyBorder="1" applyAlignment="1">
      <alignment horizontal="right" vertical="center" wrapText="1"/>
    </xf>
    <xf numFmtId="164" fontId="4" fillId="0" borderId="118" xfId="0" applyNumberFormat="1" applyFont="1" applyFill="1" applyBorder="1" applyAlignment="1">
      <alignment horizontal="right" vertical="center" wrapText="1"/>
    </xf>
    <xf numFmtId="164" fontId="4" fillId="0" borderId="119" xfId="0" applyNumberFormat="1" applyFont="1" applyFill="1" applyBorder="1" applyAlignment="1">
      <alignment horizontal="right" vertical="center" wrapText="1"/>
    </xf>
    <xf numFmtId="164" fontId="4" fillId="0" borderId="126" xfId="0" applyNumberFormat="1" applyFont="1" applyFill="1" applyBorder="1" applyAlignment="1">
      <alignment horizontal="right" vertical="center" wrapText="1"/>
    </xf>
    <xf numFmtId="164" fontId="4" fillId="0" borderId="127" xfId="0" applyNumberFormat="1" applyFont="1" applyFill="1" applyBorder="1" applyAlignment="1">
      <alignment horizontal="right" vertical="center" wrapText="1"/>
    </xf>
    <xf numFmtId="164" fontId="4" fillId="0" borderId="134" xfId="0" applyNumberFormat="1" applyFont="1" applyFill="1" applyBorder="1" applyAlignment="1">
      <alignment horizontal="right" vertical="center" wrapText="1"/>
    </xf>
    <xf numFmtId="164" fontId="4" fillId="0" borderId="135" xfId="0" applyNumberFormat="1" applyFont="1" applyFill="1" applyBorder="1" applyAlignment="1">
      <alignment horizontal="right" vertical="center" wrapText="1"/>
    </xf>
    <xf numFmtId="164" fontId="4" fillId="0" borderId="142" xfId="0" applyNumberFormat="1" applyFont="1" applyFill="1" applyBorder="1" applyAlignment="1">
      <alignment horizontal="right" vertical="center" wrapText="1"/>
    </xf>
    <xf numFmtId="164" fontId="4" fillId="0" borderId="143" xfId="0" applyNumberFormat="1" applyFont="1" applyFill="1" applyBorder="1" applyAlignment="1">
      <alignment horizontal="right" vertical="center" wrapText="1"/>
    </xf>
    <xf numFmtId="164" fontId="4" fillId="0" borderId="146" xfId="0" applyNumberFormat="1" applyFont="1" applyFill="1" applyBorder="1" applyAlignment="1">
      <alignment horizontal="right" vertical="center" wrapText="1"/>
    </xf>
    <xf numFmtId="164" fontId="4" fillId="0" borderId="146" xfId="0" applyNumberFormat="1" applyFont="1" applyFill="1" applyBorder="1" applyAlignment="1">
      <alignment horizontal="right" vertical="top" wrapText="1"/>
    </xf>
    <xf numFmtId="164" fontId="4" fillId="0" borderId="146" xfId="0" applyNumberFormat="1" applyFont="1" applyFill="1" applyBorder="1" applyAlignment="1">
      <alignment horizontal="right" vertical="center"/>
    </xf>
    <xf numFmtId="0" fontId="4" fillId="0" borderId="146" xfId="0" applyFont="1" applyFill="1" applyBorder="1" applyAlignment="1">
      <alignment horizontal="right" vertical="top"/>
    </xf>
    <xf numFmtId="0" fontId="4" fillId="0" borderId="146" xfId="0" applyFont="1" applyFill="1" applyBorder="1" applyAlignment="1">
      <alignment horizontal="right" vertical="center"/>
    </xf>
    <xf numFmtId="0" fontId="4" fillId="4" borderId="146" xfId="0" applyFont="1" applyFill="1" applyBorder="1" applyAlignment="1">
      <alignment horizontal="center" vertical="center"/>
    </xf>
    <xf numFmtId="0" fontId="4" fillId="0" borderId="146" xfId="0" applyFont="1" applyFill="1" applyBorder="1" applyAlignment="1">
      <alignment horizontal="right" vertical="top"/>
    </xf>
    <xf numFmtId="0" fontId="4" fillId="0" borderId="147" xfId="0" applyFont="1" applyFill="1" applyBorder="1" applyAlignment="1">
      <alignment horizontal="right" vertical="center"/>
    </xf>
    <xf numFmtId="0" fontId="4" fillId="0" borderId="148" xfId="0" applyFont="1" applyFill="1" applyBorder="1" applyAlignment="1">
      <alignment horizontal="right" vertical="center"/>
    </xf>
    <xf numFmtId="0" fontId="4" fillId="0" borderId="149" xfId="0" applyFont="1" applyFill="1" applyBorder="1" applyAlignment="1">
      <alignment horizontal="right" vertical="center"/>
    </xf>
    <xf numFmtId="0" fontId="4" fillId="7" borderId="146" xfId="0" applyFont="1" applyFill="1" applyBorder="1" applyAlignment="1">
      <alignment horizontal="right" vertical="top"/>
    </xf>
    <xf numFmtId="164" fontId="4" fillId="0" borderId="146" xfId="0" quotePrefix="1" applyNumberFormat="1" applyFont="1" applyFill="1" applyBorder="1" applyAlignment="1">
      <alignment horizontal="right" vertical="center" wrapText="1"/>
    </xf>
    <xf numFmtId="0" fontId="4" fillId="0" borderId="146" xfId="0" quotePrefix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5" fillId="0" borderId="146" xfId="0" applyFont="1" applyFill="1" applyBorder="1" applyAlignment="1">
      <alignment horizontal="center" vertical="center"/>
    </xf>
    <xf numFmtId="0" fontId="5" fillId="7" borderId="146" xfId="0" applyFont="1" applyFill="1" applyBorder="1" applyAlignment="1">
      <alignment horizontal="center" vertical="center"/>
    </xf>
    <xf numFmtId="0" fontId="5" fillId="0" borderId="146" xfId="0" applyFont="1" applyFill="1" applyBorder="1" applyAlignment="1">
      <alignment horizontal="right" vertical="center"/>
    </xf>
    <xf numFmtId="0" fontId="5" fillId="0" borderId="146" xfId="0" applyFont="1" applyFill="1" applyBorder="1" applyAlignment="1">
      <alignment horizontal="right" vertical="top"/>
    </xf>
    <xf numFmtId="0" fontId="5" fillId="0" borderId="146" xfId="0" applyFont="1" applyFill="1" applyBorder="1" applyAlignment="1">
      <alignment horizontal="center" vertical="top"/>
    </xf>
    <xf numFmtId="0" fontId="5" fillId="0" borderId="146" xfId="0" applyFont="1" applyFill="1" applyBorder="1" applyAlignment="1">
      <alignment horizontal="right" vertical="top"/>
    </xf>
    <xf numFmtId="0" fontId="4" fillId="7" borderId="146" xfId="0" applyFont="1" applyFill="1" applyBorder="1" applyAlignment="1">
      <alignment horizontal="center" vertical="center" wrapText="1"/>
    </xf>
    <xf numFmtId="0" fontId="4" fillId="7" borderId="146" xfId="0" applyFont="1" applyFill="1" applyBorder="1" applyAlignment="1">
      <alignment horizontal="center" vertical="top" wrapText="1"/>
    </xf>
    <xf numFmtId="0" fontId="4" fillId="7" borderId="146" xfId="0" applyFont="1" applyFill="1" applyBorder="1" applyAlignment="1">
      <alignment horizontal="center" vertical="top" wrapText="1"/>
    </xf>
    <xf numFmtId="0" fontId="6" fillId="0" borderId="0" xfId="0" quotePrefix="1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right" vertical="top"/>
    </xf>
    <xf numFmtId="0" fontId="5" fillId="0" borderId="0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8"/>
  <sheetViews>
    <sheetView tabSelected="1" topLeftCell="A103" zoomScaleNormal="100" workbookViewId="0">
      <selection activeCell="K112" sqref="K112"/>
    </sheetView>
  </sheetViews>
  <sheetFormatPr defaultColWidth="9.296875" defaultRowHeight="13" x14ac:dyDescent="0.3"/>
  <cols>
    <col min="1" max="1" width="4.69921875" style="1" customWidth="1"/>
    <col min="2" max="9" width="15.69921875" style="1" customWidth="1"/>
    <col min="10" max="10" width="17.3984375" style="1" customWidth="1"/>
    <col min="11" max="11" width="15.69921875" style="1" customWidth="1"/>
    <col min="12" max="16384" width="9.296875" style="1"/>
  </cols>
  <sheetData>
    <row r="1" spans="1:9" ht="19" customHeight="1" x14ac:dyDescent="0.3">
      <c r="A1" s="25" t="s">
        <v>3</v>
      </c>
      <c r="B1" s="26" t="s">
        <v>4</v>
      </c>
      <c r="C1" s="27" t="s">
        <v>5</v>
      </c>
      <c r="D1" s="28"/>
      <c r="E1" s="29"/>
      <c r="F1" s="30" t="s">
        <v>6</v>
      </c>
      <c r="G1" s="28"/>
      <c r="H1" s="31"/>
      <c r="I1" s="32" t="s">
        <v>7</v>
      </c>
    </row>
    <row r="2" spans="1:9" ht="12" customHeight="1" x14ac:dyDescent="0.3">
      <c r="A2" s="33"/>
      <c r="B2" s="34"/>
      <c r="C2" s="35" t="s">
        <v>8</v>
      </c>
      <c r="D2" s="36" t="s">
        <v>9</v>
      </c>
      <c r="E2" s="37" t="s">
        <v>10</v>
      </c>
      <c r="F2" s="38" t="s">
        <v>9</v>
      </c>
      <c r="G2" s="39" t="s">
        <v>8</v>
      </c>
      <c r="H2" s="40" t="s">
        <v>11</v>
      </c>
      <c r="I2" s="41"/>
    </row>
    <row r="3" spans="1:9" ht="15" customHeight="1" x14ac:dyDescent="0.3">
      <c r="A3" s="236">
        <v>1</v>
      </c>
      <c r="B3" s="43" t="s">
        <v>12</v>
      </c>
      <c r="C3" s="204">
        <v>48</v>
      </c>
      <c r="D3" s="205">
        <v>40</v>
      </c>
      <c r="E3" s="46" t="s">
        <v>13</v>
      </c>
      <c r="F3" s="252">
        <v>48</v>
      </c>
      <c r="G3" s="253">
        <v>40</v>
      </c>
      <c r="H3" s="49" t="s">
        <v>14</v>
      </c>
      <c r="I3" s="50" t="s">
        <v>15</v>
      </c>
    </row>
    <row r="4" spans="1:9" ht="15" customHeight="1" x14ac:dyDescent="0.3">
      <c r="A4" s="237">
        <v>2</v>
      </c>
      <c r="B4" s="52" t="s">
        <v>16</v>
      </c>
      <c r="C4" s="206">
        <v>102</v>
      </c>
      <c r="D4" s="207">
        <v>100</v>
      </c>
      <c r="E4" s="55" t="s">
        <v>13</v>
      </c>
      <c r="F4" s="254">
        <v>102</v>
      </c>
      <c r="G4" s="255">
        <v>100</v>
      </c>
      <c r="H4" s="58" t="s">
        <v>13</v>
      </c>
      <c r="I4" s="59" t="s">
        <v>17</v>
      </c>
    </row>
    <row r="5" spans="1:9" ht="15" customHeight="1" x14ac:dyDescent="0.3">
      <c r="A5" s="238">
        <v>3</v>
      </c>
      <c r="B5" s="61" t="s">
        <v>18</v>
      </c>
      <c r="C5" s="208">
        <v>40</v>
      </c>
      <c r="D5" s="209">
        <v>80</v>
      </c>
      <c r="E5" s="64" t="s">
        <v>14</v>
      </c>
      <c r="F5" s="256">
        <v>40</v>
      </c>
      <c r="G5" s="257">
        <v>80</v>
      </c>
      <c r="H5" s="67" t="s">
        <v>14</v>
      </c>
      <c r="I5" s="68" t="s">
        <v>17</v>
      </c>
    </row>
    <row r="6" spans="1:9" ht="15" customHeight="1" x14ac:dyDescent="0.3">
      <c r="A6" s="239">
        <v>4</v>
      </c>
      <c r="B6" s="70" t="s">
        <v>19</v>
      </c>
      <c r="C6" s="210">
        <v>25</v>
      </c>
      <c r="D6" s="211">
        <v>10</v>
      </c>
      <c r="E6" s="73" t="s">
        <v>20</v>
      </c>
      <c r="F6" s="258">
        <v>25</v>
      </c>
      <c r="G6" s="259">
        <v>10</v>
      </c>
      <c r="H6" s="76" t="s">
        <v>13</v>
      </c>
      <c r="I6" s="77" t="s">
        <v>17</v>
      </c>
    </row>
    <row r="7" spans="1:9" ht="15" customHeight="1" x14ac:dyDescent="0.3">
      <c r="A7" s="240">
        <v>5</v>
      </c>
      <c r="B7" s="79" t="s">
        <v>21</v>
      </c>
      <c r="C7" s="212">
        <v>50</v>
      </c>
      <c r="D7" s="213">
        <v>25</v>
      </c>
      <c r="E7" s="82" t="s">
        <v>13</v>
      </c>
      <c r="F7" s="260">
        <v>50</v>
      </c>
      <c r="G7" s="261">
        <v>25</v>
      </c>
      <c r="H7" s="85" t="s">
        <v>13</v>
      </c>
      <c r="I7" s="86" t="s">
        <v>17</v>
      </c>
    </row>
    <row r="8" spans="1:9" ht="15" customHeight="1" x14ac:dyDescent="0.3">
      <c r="A8" s="241">
        <v>6</v>
      </c>
      <c r="B8" s="88" t="s">
        <v>22</v>
      </c>
      <c r="C8" s="214">
        <v>10</v>
      </c>
      <c r="D8" s="215">
        <v>10</v>
      </c>
      <c r="E8" s="91" t="s">
        <v>13</v>
      </c>
      <c r="F8" s="262">
        <v>10</v>
      </c>
      <c r="G8" s="263">
        <v>10</v>
      </c>
      <c r="H8" s="94" t="s">
        <v>13</v>
      </c>
      <c r="I8" s="95" t="s">
        <v>17</v>
      </c>
    </row>
    <row r="9" spans="1:9" ht="15" customHeight="1" x14ac:dyDescent="0.3">
      <c r="A9" s="237">
        <v>7</v>
      </c>
      <c r="B9" s="52" t="s">
        <v>23</v>
      </c>
      <c r="C9" s="206">
        <v>12</v>
      </c>
      <c r="D9" s="207">
        <v>10</v>
      </c>
      <c r="E9" s="55" t="s">
        <v>13</v>
      </c>
      <c r="F9" s="254">
        <v>12</v>
      </c>
      <c r="G9" s="255">
        <v>10</v>
      </c>
      <c r="H9" s="58" t="s">
        <v>13</v>
      </c>
      <c r="I9" s="59" t="s">
        <v>17</v>
      </c>
    </row>
    <row r="10" spans="1:9" ht="15" customHeight="1" x14ac:dyDescent="0.3">
      <c r="A10" s="237">
        <v>8</v>
      </c>
      <c r="B10" s="52" t="s">
        <v>24</v>
      </c>
      <c r="C10" s="206">
        <v>15</v>
      </c>
      <c r="D10" s="207">
        <v>10</v>
      </c>
      <c r="E10" s="55" t="s">
        <v>13</v>
      </c>
      <c r="F10" s="254">
        <v>15</v>
      </c>
      <c r="G10" s="255">
        <v>10</v>
      </c>
      <c r="H10" s="58" t="s">
        <v>13</v>
      </c>
      <c r="I10" s="59" t="s">
        <v>17</v>
      </c>
    </row>
    <row r="11" spans="1:9" ht="15" customHeight="1" x14ac:dyDescent="0.3">
      <c r="A11" s="242">
        <v>9</v>
      </c>
      <c r="B11" s="97" t="s">
        <v>12</v>
      </c>
      <c r="C11" s="216">
        <v>50</v>
      </c>
      <c r="D11" s="217">
        <v>50</v>
      </c>
      <c r="E11" s="100" t="s">
        <v>13</v>
      </c>
      <c r="F11" s="264">
        <v>50</v>
      </c>
      <c r="G11" s="265">
        <v>50</v>
      </c>
      <c r="H11" s="103" t="s">
        <v>13</v>
      </c>
      <c r="I11" s="104" t="s">
        <v>17</v>
      </c>
    </row>
    <row r="12" spans="1:9" ht="16" customHeight="1" x14ac:dyDescent="0.3">
      <c r="A12" s="243">
        <v>10</v>
      </c>
      <c r="B12" s="106" t="s">
        <v>16</v>
      </c>
      <c r="C12" s="218">
        <v>80</v>
      </c>
      <c r="D12" s="219">
        <v>100</v>
      </c>
      <c r="E12" s="109" t="s">
        <v>14</v>
      </c>
      <c r="F12" s="266">
        <v>80</v>
      </c>
      <c r="G12" s="267">
        <v>100</v>
      </c>
      <c r="H12" s="112" t="s">
        <v>14</v>
      </c>
      <c r="I12" s="113" t="s">
        <v>17</v>
      </c>
    </row>
    <row r="13" spans="1:9" ht="15" customHeight="1" x14ac:dyDescent="0.3">
      <c r="A13" s="244">
        <v>11</v>
      </c>
      <c r="B13" s="115" t="s">
        <v>18</v>
      </c>
      <c r="C13" s="220">
        <v>40</v>
      </c>
      <c r="D13" s="221">
        <v>50</v>
      </c>
      <c r="E13" s="118" t="s">
        <v>25</v>
      </c>
      <c r="F13" s="268">
        <v>40</v>
      </c>
      <c r="G13" s="269">
        <v>50</v>
      </c>
      <c r="H13" s="121" t="s">
        <v>14</v>
      </c>
      <c r="I13" s="122" t="s">
        <v>17</v>
      </c>
    </row>
    <row r="14" spans="1:9" ht="14.15" customHeight="1" x14ac:dyDescent="0.3">
      <c r="A14" s="245">
        <v>12</v>
      </c>
      <c r="B14" s="124" t="s">
        <v>26</v>
      </c>
      <c r="C14" s="222">
        <v>120</v>
      </c>
      <c r="D14" s="223">
        <v>100</v>
      </c>
      <c r="E14" s="127" t="s">
        <v>13</v>
      </c>
      <c r="F14" s="270">
        <v>120</v>
      </c>
      <c r="G14" s="271">
        <v>100</v>
      </c>
      <c r="H14" s="130" t="s">
        <v>13</v>
      </c>
      <c r="I14" s="131" t="s">
        <v>17</v>
      </c>
    </row>
    <row r="15" spans="1:9" ht="16" customHeight="1" x14ac:dyDescent="0.3">
      <c r="A15" s="237">
        <v>13</v>
      </c>
      <c r="B15" s="52" t="s">
        <v>21</v>
      </c>
      <c r="C15" s="206">
        <v>50</v>
      </c>
      <c r="D15" s="207">
        <v>40</v>
      </c>
      <c r="E15" s="55" t="s">
        <v>13</v>
      </c>
      <c r="F15" s="254">
        <v>50</v>
      </c>
      <c r="G15" s="255">
        <v>40</v>
      </c>
      <c r="H15" s="58" t="s">
        <v>13</v>
      </c>
      <c r="I15" s="59" t="s">
        <v>17</v>
      </c>
    </row>
    <row r="16" spans="1:9" ht="15" customHeight="1" x14ac:dyDescent="0.3">
      <c r="A16" s="246">
        <v>14</v>
      </c>
      <c r="B16" s="133" t="s">
        <v>22</v>
      </c>
      <c r="C16" s="224">
        <v>8</v>
      </c>
      <c r="D16" s="225">
        <v>10</v>
      </c>
      <c r="E16" s="136" t="s">
        <v>14</v>
      </c>
      <c r="F16" s="272">
        <v>8</v>
      </c>
      <c r="G16" s="273">
        <v>10</v>
      </c>
      <c r="H16" s="139" t="s">
        <v>14</v>
      </c>
      <c r="I16" s="140" t="s">
        <v>17</v>
      </c>
    </row>
    <row r="17" spans="1:11" ht="15" customHeight="1" x14ac:dyDescent="0.3">
      <c r="A17" s="247">
        <v>15</v>
      </c>
      <c r="B17" s="142" t="s">
        <v>23</v>
      </c>
      <c r="C17" s="226">
        <v>20</v>
      </c>
      <c r="D17" s="227">
        <v>10</v>
      </c>
      <c r="E17" s="145" t="s">
        <v>13</v>
      </c>
      <c r="F17" s="274">
        <v>20</v>
      </c>
      <c r="G17" s="275">
        <v>10</v>
      </c>
      <c r="H17" s="148" t="s">
        <v>13</v>
      </c>
      <c r="I17" s="149" t="s">
        <v>17</v>
      </c>
    </row>
    <row r="18" spans="1:11" ht="15" customHeight="1" x14ac:dyDescent="0.3">
      <c r="A18" s="248">
        <v>16</v>
      </c>
      <c r="B18" s="151" t="s">
        <v>24</v>
      </c>
      <c r="C18" s="228">
        <v>25</v>
      </c>
      <c r="D18" s="229">
        <v>10</v>
      </c>
      <c r="E18" s="154" t="s">
        <v>13</v>
      </c>
      <c r="F18" s="276">
        <v>25</v>
      </c>
      <c r="G18" s="277">
        <v>10</v>
      </c>
      <c r="H18" s="157" t="s">
        <v>13</v>
      </c>
      <c r="I18" s="158" t="s">
        <v>17</v>
      </c>
    </row>
    <row r="19" spans="1:11" ht="15" customHeight="1" x14ac:dyDescent="0.3">
      <c r="A19" s="237">
        <v>17</v>
      </c>
      <c r="B19" s="52" t="s">
        <v>12</v>
      </c>
      <c r="C19" s="206">
        <v>115</v>
      </c>
      <c r="D19" s="207">
        <v>100</v>
      </c>
      <c r="E19" s="55" t="s">
        <v>13</v>
      </c>
      <c r="F19" s="254">
        <v>115</v>
      </c>
      <c r="G19" s="255">
        <v>100</v>
      </c>
      <c r="H19" s="58" t="s">
        <v>13</v>
      </c>
      <c r="I19" s="59" t="s">
        <v>17</v>
      </c>
    </row>
    <row r="20" spans="1:11" ht="15" customHeight="1" x14ac:dyDescent="0.3">
      <c r="A20" s="249">
        <v>18</v>
      </c>
      <c r="B20" s="160" t="s">
        <v>16</v>
      </c>
      <c r="C20" s="230">
        <v>85</v>
      </c>
      <c r="D20" s="231">
        <v>90</v>
      </c>
      <c r="E20" s="163" t="s">
        <v>14</v>
      </c>
      <c r="F20" s="278">
        <v>85</v>
      </c>
      <c r="G20" s="279">
        <v>90</v>
      </c>
      <c r="H20" s="166" t="s">
        <v>14</v>
      </c>
      <c r="I20" s="167" t="s">
        <v>17</v>
      </c>
    </row>
    <row r="21" spans="1:11" ht="15" customHeight="1" x14ac:dyDescent="0.3">
      <c r="A21" s="250">
        <v>19</v>
      </c>
      <c r="B21" s="169" t="s">
        <v>18</v>
      </c>
      <c r="C21" s="232">
        <v>80</v>
      </c>
      <c r="D21" s="233">
        <v>100</v>
      </c>
      <c r="E21" s="172" t="s">
        <v>14</v>
      </c>
      <c r="F21" s="280">
        <v>80</v>
      </c>
      <c r="G21" s="281">
        <v>100</v>
      </c>
      <c r="H21" s="175" t="s">
        <v>27</v>
      </c>
      <c r="I21" s="176" t="s">
        <v>17</v>
      </c>
    </row>
    <row r="22" spans="1:11" ht="17.149999999999999" customHeight="1" x14ac:dyDescent="0.3">
      <c r="A22" s="251">
        <v>20</v>
      </c>
      <c r="B22" s="178" t="s">
        <v>21</v>
      </c>
      <c r="C22" s="234">
        <v>60</v>
      </c>
      <c r="D22" s="235">
        <v>50</v>
      </c>
      <c r="E22" s="181" t="s">
        <v>13</v>
      </c>
      <c r="F22" s="282">
        <v>60</v>
      </c>
      <c r="G22" s="283">
        <v>50</v>
      </c>
      <c r="H22" s="184" t="s">
        <v>13</v>
      </c>
      <c r="I22" s="185" t="s">
        <v>17</v>
      </c>
    </row>
    <row r="24" spans="1:11" x14ac:dyDescent="0.3">
      <c r="A24" s="2" t="s">
        <v>0</v>
      </c>
      <c r="B24" s="2"/>
      <c r="C24" s="2"/>
      <c r="D24" s="2"/>
      <c r="E24" s="2"/>
    </row>
    <row r="25" spans="1:11" x14ac:dyDescent="0.3">
      <c r="A25" s="2" t="s">
        <v>1</v>
      </c>
      <c r="B25" s="2"/>
      <c r="C25" s="2"/>
      <c r="D25" s="2"/>
      <c r="E25" s="2"/>
    </row>
    <row r="27" spans="1:11" ht="15.5" x14ac:dyDescent="0.3">
      <c r="A27" s="186" t="s">
        <v>2</v>
      </c>
      <c r="B27" s="187"/>
      <c r="C27" s="187"/>
      <c r="D27" s="187"/>
      <c r="E27" s="187"/>
      <c r="F27" s="187"/>
      <c r="G27" s="187"/>
      <c r="H27" s="187"/>
      <c r="I27" s="188"/>
    </row>
    <row r="28" spans="1:11" ht="15.5" x14ac:dyDescent="0.3">
      <c r="A28" s="15">
        <v>17</v>
      </c>
      <c r="B28" s="14" t="s">
        <v>12</v>
      </c>
      <c r="C28" s="284">
        <v>115</v>
      </c>
      <c r="D28" s="284">
        <v>100</v>
      </c>
      <c r="E28" s="14" t="s">
        <v>13</v>
      </c>
      <c r="F28" s="284">
        <v>115</v>
      </c>
      <c r="G28" s="284">
        <v>100</v>
      </c>
      <c r="H28" s="14" t="s">
        <v>13</v>
      </c>
      <c r="I28" s="14" t="s">
        <v>17</v>
      </c>
    </row>
    <row r="29" spans="1:11" ht="15.5" x14ac:dyDescent="0.3">
      <c r="A29" s="15">
        <v>19</v>
      </c>
      <c r="B29" s="14" t="s">
        <v>18</v>
      </c>
      <c r="C29" s="284">
        <v>80</v>
      </c>
      <c r="D29" s="284">
        <v>100</v>
      </c>
      <c r="E29" s="14" t="s">
        <v>14</v>
      </c>
      <c r="F29" s="284">
        <v>80</v>
      </c>
      <c r="G29" s="284">
        <v>100</v>
      </c>
      <c r="H29" s="14" t="s">
        <v>27</v>
      </c>
      <c r="I29" s="14" t="s">
        <v>17</v>
      </c>
    </row>
    <row r="32" spans="1:11" ht="15.5" x14ac:dyDescent="0.3">
      <c r="A32" s="189" t="s">
        <v>29</v>
      </c>
      <c r="B32" s="190"/>
      <c r="C32" s="190"/>
      <c r="D32" s="190"/>
      <c r="E32" s="190"/>
      <c r="F32" s="190"/>
      <c r="G32" s="190"/>
      <c r="H32" s="190"/>
      <c r="I32" s="190"/>
      <c r="J32" s="190"/>
      <c r="K32" s="191"/>
    </row>
    <row r="33" spans="1:11" ht="13" customHeight="1" x14ac:dyDescent="0.3">
      <c r="A33" s="11" t="s">
        <v>3</v>
      </c>
      <c r="B33" s="11" t="s">
        <v>4</v>
      </c>
      <c r="C33" s="12" t="s">
        <v>5</v>
      </c>
      <c r="D33" s="12"/>
      <c r="E33" s="12"/>
      <c r="F33" s="12" t="s">
        <v>6</v>
      </c>
      <c r="G33" s="12"/>
      <c r="H33" s="12"/>
      <c r="I33" s="11" t="s">
        <v>7</v>
      </c>
      <c r="J33" s="192" t="s">
        <v>30</v>
      </c>
      <c r="K33" s="192" t="s">
        <v>42</v>
      </c>
    </row>
    <row r="34" spans="1:11" ht="15.5" x14ac:dyDescent="0.3">
      <c r="A34" s="11"/>
      <c r="B34" s="11"/>
      <c r="C34" s="13" t="s">
        <v>8</v>
      </c>
      <c r="D34" s="13" t="s">
        <v>9</v>
      </c>
      <c r="E34" s="13" t="s">
        <v>10</v>
      </c>
      <c r="F34" s="13" t="s">
        <v>9</v>
      </c>
      <c r="G34" s="13" t="s">
        <v>8</v>
      </c>
      <c r="H34" s="13" t="s">
        <v>11</v>
      </c>
      <c r="I34" s="11"/>
      <c r="J34" s="192"/>
      <c r="K34" s="192"/>
    </row>
    <row r="35" spans="1:11" ht="15.5" x14ac:dyDescent="0.3">
      <c r="A35" s="285">
        <v>1</v>
      </c>
      <c r="B35" s="194" t="s">
        <v>12</v>
      </c>
      <c r="C35" s="285">
        <f>POWER(C3-C28,2)</f>
        <v>4489</v>
      </c>
      <c r="D35" s="285">
        <f>POWER(D3-D28,2)</f>
        <v>3600</v>
      </c>
      <c r="E35" s="194" t="s">
        <v>13</v>
      </c>
      <c r="F35" s="285">
        <f>POWER(F3-F28,2)</f>
        <v>4489</v>
      </c>
      <c r="G35" s="285">
        <f>POWER(G3-G28,2)</f>
        <v>3600</v>
      </c>
      <c r="H35" s="194" t="s">
        <v>14</v>
      </c>
      <c r="I35" s="194" t="s">
        <v>15</v>
      </c>
      <c r="J35" s="286">
        <f>SUM(C35,D35,F35,G35)</f>
        <v>16178</v>
      </c>
      <c r="K35" s="287">
        <f>SQRT(J35)</f>
        <v>127.1927670899568</v>
      </c>
    </row>
    <row r="36" spans="1:11" ht="15.5" x14ac:dyDescent="0.3">
      <c r="A36" s="285">
        <v>2</v>
      </c>
      <c r="B36" s="194" t="s">
        <v>16</v>
      </c>
      <c r="C36" s="285">
        <f>POWER(C4-C28,2)</f>
        <v>169</v>
      </c>
      <c r="D36" s="285">
        <f>POWER(D4-D28,2)</f>
        <v>0</v>
      </c>
      <c r="E36" s="194" t="s">
        <v>13</v>
      </c>
      <c r="F36" s="285">
        <f>POWER(F4-F28,2)</f>
        <v>169</v>
      </c>
      <c r="G36" s="285">
        <f>POWER(G4-G28,2)</f>
        <v>0</v>
      </c>
      <c r="H36" s="194" t="s">
        <v>13</v>
      </c>
      <c r="I36" s="194" t="s">
        <v>17</v>
      </c>
      <c r="J36" s="286">
        <f t="shared" ref="J36:J54" si="0">SUM(C36,D36,F36,G36)</f>
        <v>338</v>
      </c>
      <c r="K36" s="287">
        <f t="shared" ref="K36:K54" si="1">SQRT(J36)</f>
        <v>18.384776310850235</v>
      </c>
    </row>
    <row r="37" spans="1:11" ht="15.5" x14ac:dyDescent="0.3">
      <c r="A37" s="285">
        <v>3</v>
      </c>
      <c r="B37" s="194" t="s">
        <v>18</v>
      </c>
      <c r="C37" s="285">
        <f>POWER(C5-C28,2)</f>
        <v>5625</v>
      </c>
      <c r="D37" s="285">
        <f>POWER(D5-D28,2)</f>
        <v>400</v>
      </c>
      <c r="E37" s="194" t="s">
        <v>14</v>
      </c>
      <c r="F37" s="285">
        <f>POWER(F5-F28,2)</f>
        <v>5625</v>
      </c>
      <c r="G37" s="285">
        <f>POWER(G5-G28,2)</f>
        <v>400</v>
      </c>
      <c r="H37" s="194" t="s">
        <v>14</v>
      </c>
      <c r="I37" s="194" t="s">
        <v>17</v>
      </c>
      <c r="J37" s="286">
        <f t="shared" si="0"/>
        <v>12050</v>
      </c>
      <c r="K37" s="287">
        <f t="shared" si="1"/>
        <v>109.77249200050075</v>
      </c>
    </row>
    <row r="38" spans="1:11" ht="15.5" x14ac:dyDescent="0.3">
      <c r="A38" s="285">
        <v>4</v>
      </c>
      <c r="B38" s="194" t="s">
        <v>19</v>
      </c>
      <c r="C38" s="285">
        <f>POWER(C6-C28,2)</f>
        <v>8100</v>
      </c>
      <c r="D38" s="285">
        <f>POWER(D6-D28,2)</f>
        <v>8100</v>
      </c>
      <c r="E38" s="194" t="s">
        <v>20</v>
      </c>
      <c r="F38" s="285">
        <f>POWER(F6-F28,2)</f>
        <v>8100</v>
      </c>
      <c r="G38" s="285">
        <f>POWER(G6-G28,2)</f>
        <v>8100</v>
      </c>
      <c r="H38" s="194" t="s">
        <v>13</v>
      </c>
      <c r="I38" s="194" t="s">
        <v>17</v>
      </c>
      <c r="J38" s="286">
        <f t="shared" si="0"/>
        <v>32400</v>
      </c>
      <c r="K38" s="287">
        <f t="shared" si="1"/>
        <v>180</v>
      </c>
    </row>
    <row r="39" spans="1:11" ht="15.5" x14ac:dyDescent="0.3">
      <c r="A39" s="285">
        <v>5</v>
      </c>
      <c r="B39" s="194" t="s">
        <v>21</v>
      </c>
      <c r="C39" s="285">
        <f>POWER(C7-C28,2)</f>
        <v>4225</v>
      </c>
      <c r="D39" s="285">
        <f>POWER(D7-D28,2)</f>
        <v>5625</v>
      </c>
      <c r="E39" s="194" t="s">
        <v>13</v>
      </c>
      <c r="F39" s="285">
        <f>POWER(F7-F28,2)</f>
        <v>4225</v>
      </c>
      <c r="G39" s="285">
        <f>POWER(G7-G28,2)</f>
        <v>5625</v>
      </c>
      <c r="H39" s="194" t="s">
        <v>13</v>
      </c>
      <c r="I39" s="194" t="s">
        <v>17</v>
      </c>
      <c r="J39" s="286">
        <f t="shared" si="0"/>
        <v>19700</v>
      </c>
      <c r="K39" s="287">
        <f t="shared" si="1"/>
        <v>140.356688476182</v>
      </c>
    </row>
    <row r="40" spans="1:11" ht="15.5" x14ac:dyDescent="0.3">
      <c r="A40" s="285">
        <v>6</v>
      </c>
      <c r="B40" s="194" t="s">
        <v>22</v>
      </c>
      <c r="C40" s="285">
        <f>POWER(C8-C28,2)</f>
        <v>11025</v>
      </c>
      <c r="D40" s="285">
        <f>POWER(D8-D28,2)</f>
        <v>8100</v>
      </c>
      <c r="E40" s="194" t="s">
        <v>13</v>
      </c>
      <c r="F40" s="285">
        <f>POWER(F8-F28,2)</f>
        <v>11025</v>
      </c>
      <c r="G40" s="285">
        <f>POWER(G8-G28,2)</f>
        <v>8100</v>
      </c>
      <c r="H40" s="194" t="s">
        <v>13</v>
      </c>
      <c r="I40" s="194" t="s">
        <v>17</v>
      </c>
      <c r="J40" s="286">
        <f t="shared" si="0"/>
        <v>38250</v>
      </c>
      <c r="K40" s="287">
        <f t="shared" si="1"/>
        <v>195.57607215607945</v>
      </c>
    </row>
    <row r="41" spans="1:11" ht="15.5" x14ac:dyDescent="0.3">
      <c r="A41" s="285">
        <v>7</v>
      </c>
      <c r="B41" s="194" t="s">
        <v>23</v>
      </c>
      <c r="C41" s="285">
        <f>POWER(C9-C28,2)</f>
        <v>10609</v>
      </c>
      <c r="D41" s="285">
        <f>POWER(D9-D28,2)</f>
        <v>8100</v>
      </c>
      <c r="E41" s="194" t="s">
        <v>13</v>
      </c>
      <c r="F41" s="285">
        <f>POWER(F9-F28,2)</f>
        <v>10609</v>
      </c>
      <c r="G41" s="285">
        <f>POWER(G9-G28,2)</f>
        <v>8100</v>
      </c>
      <c r="H41" s="194" t="s">
        <v>13</v>
      </c>
      <c r="I41" s="194" t="s">
        <v>17</v>
      </c>
      <c r="J41" s="286">
        <f t="shared" si="0"/>
        <v>37418</v>
      </c>
      <c r="K41" s="287">
        <f t="shared" si="1"/>
        <v>193.43732835210477</v>
      </c>
    </row>
    <row r="42" spans="1:11" ht="15.5" x14ac:dyDescent="0.3">
      <c r="A42" s="285">
        <v>8</v>
      </c>
      <c r="B42" s="194" t="s">
        <v>24</v>
      </c>
      <c r="C42" s="285">
        <f>POWER(C10-C28,2)</f>
        <v>10000</v>
      </c>
      <c r="D42" s="285">
        <f>POWER(D10-D28,2)</f>
        <v>8100</v>
      </c>
      <c r="E42" s="194" t="s">
        <v>13</v>
      </c>
      <c r="F42" s="285">
        <f>POWER(F10-F28,2)</f>
        <v>10000</v>
      </c>
      <c r="G42" s="285">
        <f>POWER(G10-G28,2)</f>
        <v>8100</v>
      </c>
      <c r="H42" s="194" t="s">
        <v>13</v>
      </c>
      <c r="I42" s="194" t="s">
        <v>17</v>
      </c>
      <c r="J42" s="286">
        <f t="shared" si="0"/>
        <v>36200</v>
      </c>
      <c r="K42" s="287">
        <f t="shared" si="1"/>
        <v>190.26297590440447</v>
      </c>
    </row>
    <row r="43" spans="1:11" ht="15.5" x14ac:dyDescent="0.3">
      <c r="A43" s="285">
        <v>9</v>
      </c>
      <c r="B43" s="194" t="s">
        <v>12</v>
      </c>
      <c r="C43" s="285">
        <f>POWER(C11-C28,2)</f>
        <v>4225</v>
      </c>
      <c r="D43" s="285">
        <f>POWER(D11-D28,2)</f>
        <v>2500</v>
      </c>
      <c r="E43" s="194" t="s">
        <v>13</v>
      </c>
      <c r="F43" s="285">
        <f>POWER(F11-F28,2)</f>
        <v>4225</v>
      </c>
      <c r="G43" s="285">
        <f>POWER(G11-G28,2)</f>
        <v>2500</v>
      </c>
      <c r="H43" s="194" t="s">
        <v>13</v>
      </c>
      <c r="I43" s="194" t="s">
        <v>17</v>
      </c>
      <c r="J43" s="286">
        <f t="shared" si="0"/>
        <v>13450</v>
      </c>
      <c r="K43" s="287">
        <f t="shared" si="1"/>
        <v>115.97413504743201</v>
      </c>
    </row>
    <row r="44" spans="1:11" ht="15.5" x14ac:dyDescent="0.3">
      <c r="A44" s="285">
        <v>10</v>
      </c>
      <c r="B44" s="194" t="s">
        <v>16</v>
      </c>
      <c r="C44" s="285">
        <f>POWER(C12-C28,2)</f>
        <v>1225</v>
      </c>
      <c r="D44" s="285">
        <f>POWER(D12-D28,2)</f>
        <v>0</v>
      </c>
      <c r="E44" s="194" t="s">
        <v>14</v>
      </c>
      <c r="F44" s="285">
        <f>POWER(F12-F28,2)</f>
        <v>1225</v>
      </c>
      <c r="G44" s="285">
        <f>POWER(G12-G28,2)</f>
        <v>0</v>
      </c>
      <c r="H44" s="194" t="s">
        <v>14</v>
      </c>
      <c r="I44" s="194" t="s">
        <v>17</v>
      </c>
      <c r="J44" s="286">
        <f t="shared" si="0"/>
        <v>2450</v>
      </c>
      <c r="K44" s="287">
        <f t="shared" si="1"/>
        <v>49.497474683058329</v>
      </c>
    </row>
    <row r="45" spans="1:11" ht="31" x14ac:dyDescent="0.3">
      <c r="A45" s="285">
        <v>11</v>
      </c>
      <c r="B45" s="194" t="s">
        <v>18</v>
      </c>
      <c r="C45" s="285">
        <f>POWER(C13-C28,2)</f>
        <v>5625</v>
      </c>
      <c r="D45" s="285">
        <f>POWER(D13-D28,2)</f>
        <v>2500</v>
      </c>
      <c r="E45" s="194" t="s">
        <v>25</v>
      </c>
      <c r="F45" s="285">
        <f>POWER(F13-F28,2)</f>
        <v>5625</v>
      </c>
      <c r="G45" s="285">
        <f>POWER(G13-G28,2)</f>
        <v>2500</v>
      </c>
      <c r="H45" s="194" t="s">
        <v>14</v>
      </c>
      <c r="I45" s="194" t="s">
        <v>17</v>
      </c>
      <c r="J45" s="286">
        <f t="shared" si="0"/>
        <v>16250</v>
      </c>
      <c r="K45" s="287">
        <f t="shared" si="1"/>
        <v>127.47548783981962</v>
      </c>
    </row>
    <row r="46" spans="1:11" ht="15.5" x14ac:dyDescent="0.3">
      <c r="A46" s="285">
        <v>12</v>
      </c>
      <c r="B46" s="194" t="s">
        <v>26</v>
      </c>
      <c r="C46" s="285">
        <f>POWER(C14-C28,2)</f>
        <v>25</v>
      </c>
      <c r="D46" s="285">
        <f>POWER(D14-D28,2)</f>
        <v>0</v>
      </c>
      <c r="E46" s="194" t="s">
        <v>13</v>
      </c>
      <c r="F46" s="285">
        <f>POWER(F14-F28,2)</f>
        <v>25</v>
      </c>
      <c r="G46" s="285">
        <f>POWER(G14-G28,2)</f>
        <v>0</v>
      </c>
      <c r="H46" s="194" t="s">
        <v>13</v>
      </c>
      <c r="I46" s="194" t="s">
        <v>17</v>
      </c>
      <c r="J46" s="286">
        <f t="shared" si="0"/>
        <v>50</v>
      </c>
      <c r="K46" s="287">
        <f t="shared" si="1"/>
        <v>7.0710678118654755</v>
      </c>
    </row>
    <row r="47" spans="1:11" ht="15.5" x14ac:dyDescent="0.3">
      <c r="A47" s="285">
        <v>13</v>
      </c>
      <c r="B47" s="194" t="s">
        <v>21</v>
      </c>
      <c r="C47" s="285">
        <f>POWER(C15-C28,2)</f>
        <v>4225</v>
      </c>
      <c r="D47" s="285">
        <f>POWER(D15-D28,2)</f>
        <v>3600</v>
      </c>
      <c r="E47" s="194" t="s">
        <v>13</v>
      </c>
      <c r="F47" s="285">
        <f>POWER(F15-F28,2)</f>
        <v>4225</v>
      </c>
      <c r="G47" s="285">
        <f>POWER(G15-G28,2)</f>
        <v>3600</v>
      </c>
      <c r="H47" s="194" t="s">
        <v>13</v>
      </c>
      <c r="I47" s="194" t="s">
        <v>17</v>
      </c>
      <c r="J47" s="286">
        <f t="shared" si="0"/>
        <v>15650</v>
      </c>
      <c r="K47" s="287">
        <f t="shared" si="1"/>
        <v>125.09996003196804</v>
      </c>
    </row>
    <row r="48" spans="1:11" ht="15.5" x14ac:dyDescent="0.3">
      <c r="A48" s="285">
        <v>14</v>
      </c>
      <c r="B48" s="194" t="s">
        <v>22</v>
      </c>
      <c r="C48" s="285">
        <f>POWER(C16-C28,2)</f>
        <v>11449</v>
      </c>
      <c r="D48" s="285">
        <f>POWER(D16-D28,2)</f>
        <v>8100</v>
      </c>
      <c r="E48" s="194" t="s">
        <v>14</v>
      </c>
      <c r="F48" s="285">
        <f>POWER(F16-F28,2)</f>
        <v>11449</v>
      </c>
      <c r="G48" s="285">
        <f>POWER(G16-G28,2)</f>
        <v>8100</v>
      </c>
      <c r="H48" s="194" t="s">
        <v>14</v>
      </c>
      <c r="I48" s="194" t="s">
        <v>17</v>
      </c>
      <c r="J48" s="286">
        <f t="shared" si="0"/>
        <v>39098</v>
      </c>
      <c r="K48" s="287">
        <f t="shared" si="1"/>
        <v>197.73214205080569</v>
      </c>
    </row>
    <row r="49" spans="1:11" ht="15.5" x14ac:dyDescent="0.3">
      <c r="A49" s="285">
        <v>15</v>
      </c>
      <c r="B49" s="194" t="s">
        <v>23</v>
      </c>
      <c r="C49" s="285">
        <f>POWER(C17-C28,2)</f>
        <v>9025</v>
      </c>
      <c r="D49" s="285">
        <f>POWER(D17-D28,2)</f>
        <v>8100</v>
      </c>
      <c r="E49" s="194" t="s">
        <v>13</v>
      </c>
      <c r="F49" s="285">
        <f>POWER(F17-F28,2)</f>
        <v>9025</v>
      </c>
      <c r="G49" s="285">
        <f>POWER(G17-G28,2)</f>
        <v>8100</v>
      </c>
      <c r="H49" s="194" t="s">
        <v>13</v>
      </c>
      <c r="I49" s="194" t="s">
        <v>17</v>
      </c>
      <c r="J49" s="286">
        <f t="shared" si="0"/>
        <v>34250</v>
      </c>
      <c r="K49" s="287">
        <f t="shared" si="1"/>
        <v>185.06755523321746</v>
      </c>
    </row>
    <row r="50" spans="1:11" ht="15.5" x14ac:dyDescent="0.3">
      <c r="A50" s="285">
        <v>16</v>
      </c>
      <c r="B50" s="194" t="s">
        <v>24</v>
      </c>
      <c r="C50" s="285">
        <f>POWER(C18-C28,2)</f>
        <v>8100</v>
      </c>
      <c r="D50" s="285">
        <f>POWER(D18-D28,2)</f>
        <v>8100</v>
      </c>
      <c r="E50" s="194" t="s">
        <v>13</v>
      </c>
      <c r="F50" s="285">
        <f>POWER(F18-F28,2)</f>
        <v>8100</v>
      </c>
      <c r="G50" s="285">
        <f>POWER(G18-G28,2)</f>
        <v>8100</v>
      </c>
      <c r="H50" s="194" t="s">
        <v>13</v>
      </c>
      <c r="I50" s="194" t="s">
        <v>17</v>
      </c>
      <c r="J50" s="286">
        <f t="shared" si="0"/>
        <v>32400</v>
      </c>
      <c r="K50" s="287">
        <f t="shared" si="1"/>
        <v>180</v>
      </c>
    </row>
    <row r="51" spans="1:11" ht="15.5" x14ac:dyDescent="0.3">
      <c r="A51" s="285">
        <v>17</v>
      </c>
      <c r="B51" s="194" t="s">
        <v>12</v>
      </c>
      <c r="C51" s="285">
        <f>POWER(C19-C28,2)</f>
        <v>0</v>
      </c>
      <c r="D51" s="285">
        <f>POWER(D19-D28,2)</f>
        <v>0</v>
      </c>
      <c r="E51" s="194" t="s">
        <v>13</v>
      </c>
      <c r="F51" s="285">
        <f>POWER(F19-F28,2)</f>
        <v>0</v>
      </c>
      <c r="G51" s="285">
        <f>POWER(G19-G28,2)</f>
        <v>0</v>
      </c>
      <c r="H51" s="194" t="s">
        <v>13</v>
      </c>
      <c r="I51" s="194" t="s">
        <v>17</v>
      </c>
      <c r="J51" s="286">
        <f t="shared" si="0"/>
        <v>0</v>
      </c>
      <c r="K51" s="287">
        <f t="shared" si="1"/>
        <v>0</v>
      </c>
    </row>
    <row r="52" spans="1:11" ht="15.5" x14ac:dyDescent="0.3">
      <c r="A52" s="285">
        <v>18</v>
      </c>
      <c r="B52" s="194" t="s">
        <v>16</v>
      </c>
      <c r="C52" s="285">
        <f>POWER(C20-C28,2)</f>
        <v>900</v>
      </c>
      <c r="D52" s="285">
        <f>POWER(D20-D28,2)</f>
        <v>100</v>
      </c>
      <c r="E52" s="194" t="s">
        <v>14</v>
      </c>
      <c r="F52" s="285">
        <f>POWER(F20-F28,2)</f>
        <v>900</v>
      </c>
      <c r="G52" s="285">
        <f>POWER(G20-G28,2)</f>
        <v>100</v>
      </c>
      <c r="H52" s="194" t="s">
        <v>14</v>
      </c>
      <c r="I52" s="194" t="s">
        <v>17</v>
      </c>
      <c r="J52" s="286">
        <f t="shared" si="0"/>
        <v>2000</v>
      </c>
      <c r="K52" s="287">
        <f t="shared" si="1"/>
        <v>44.721359549995796</v>
      </c>
    </row>
    <row r="53" spans="1:11" ht="15.5" x14ac:dyDescent="0.3">
      <c r="A53" s="285">
        <v>19</v>
      </c>
      <c r="B53" s="194" t="s">
        <v>18</v>
      </c>
      <c r="C53" s="285">
        <f>POWER(C21-C28,2)</f>
        <v>1225</v>
      </c>
      <c r="D53" s="285">
        <f>POWER(D21-D28,2)</f>
        <v>0</v>
      </c>
      <c r="E53" s="194" t="s">
        <v>14</v>
      </c>
      <c r="F53" s="285">
        <f>POWER(F21-F28,2)</f>
        <v>1225</v>
      </c>
      <c r="G53" s="285">
        <f>POWER(G21-G28,2)</f>
        <v>0</v>
      </c>
      <c r="H53" s="194" t="s">
        <v>27</v>
      </c>
      <c r="I53" s="194" t="s">
        <v>17</v>
      </c>
      <c r="J53" s="286">
        <f t="shared" si="0"/>
        <v>2450</v>
      </c>
      <c r="K53" s="287">
        <f t="shared" si="1"/>
        <v>49.497474683058329</v>
      </c>
    </row>
    <row r="54" spans="1:11" ht="15.5" x14ac:dyDescent="0.3">
      <c r="A54" s="285">
        <v>20</v>
      </c>
      <c r="B54" s="194" t="s">
        <v>21</v>
      </c>
      <c r="C54" s="285">
        <f>POWER(C22-C28,2)</f>
        <v>3025</v>
      </c>
      <c r="D54" s="285">
        <f>POWER(D22-D28,2)</f>
        <v>2500</v>
      </c>
      <c r="E54" s="194" t="s">
        <v>13</v>
      </c>
      <c r="F54" s="285">
        <f>POWER(F22-F28,2)</f>
        <v>3025</v>
      </c>
      <c r="G54" s="285">
        <f>POWER(G22-G28,2)</f>
        <v>2500</v>
      </c>
      <c r="H54" s="194" t="s">
        <v>13</v>
      </c>
      <c r="I54" s="194" t="s">
        <v>17</v>
      </c>
      <c r="J54" s="286">
        <f t="shared" si="0"/>
        <v>11050</v>
      </c>
      <c r="K54" s="287">
        <f t="shared" si="1"/>
        <v>105.11898020814318</v>
      </c>
    </row>
    <row r="57" spans="1:11" ht="15.5" x14ac:dyDescent="0.3">
      <c r="A57" s="195" t="s">
        <v>28</v>
      </c>
      <c r="B57" s="195"/>
      <c r="C57" s="195"/>
      <c r="D57" s="195"/>
      <c r="E57" s="195"/>
      <c r="F57" s="195"/>
      <c r="G57" s="195"/>
      <c r="H57" s="195"/>
      <c r="I57" s="195"/>
      <c r="J57" s="195"/>
      <c r="K57" s="195"/>
    </row>
    <row r="58" spans="1:11" ht="13" customHeight="1" x14ac:dyDescent="0.3">
      <c r="A58" s="11" t="s">
        <v>3</v>
      </c>
      <c r="B58" s="11" t="s">
        <v>4</v>
      </c>
      <c r="C58" s="12" t="s">
        <v>5</v>
      </c>
      <c r="D58" s="12"/>
      <c r="E58" s="12"/>
      <c r="F58" s="12" t="s">
        <v>6</v>
      </c>
      <c r="G58" s="12"/>
      <c r="H58" s="12"/>
      <c r="I58" s="11" t="s">
        <v>7</v>
      </c>
      <c r="J58" s="289" t="s">
        <v>30</v>
      </c>
      <c r="K58" s="289" t="s">
        <v>42</v>
      </c>
    </row>
    <row r="59" spans="1:11" ht="13" customHeight="1" x14ac:dyDescent="0.3">
      <c r="A59" s="11"/>
      <c r="B59" s="11"/>
      <c r="C59" s="13" t="s">
        <v>8</v>
      </c>
      <c r="D59" s="13" t="s">
        <v>9</v>
      </c>
      <c r="E59" s="13" t="s">
        <v>10</v>
      </c>
      <c r="F59" s="13" t="s">
        <v>9</v>
      </c>
      <c r="G59" s="13" t="s">
        <v>8</v>
      </c>
      <c r="H59" s="13" t="s">
        <v>11</v>
      </c>
      <c r="I59" s="11"/>
      <c r="J59" s="289"/>
      <c r="K59" s="289"/>
    </row>
    <row r="60" spans="1:11" ht="15.5" x14ac:dyDescent="0.3">
      <c r="A60" s="285">
        <v>1</v>
      </c>
      <c r="B60" s="194" t="s">
        <v>12</v>
      </c>
      <c r="C60" s="285">
        <f>POWER(C3-C29,2)</f>
        <v>1024</v>
      </c>
      <c r="D60" s="285">
        <f>POWER(D3-D29,2)</f>
        <v>3600</v>
      </c>
      <c r="E60" s="194" t="s">
        <v>13</v>
      </c>
      <c r="F60" s="285">
        <f>POWER(F3-F29,2)</f>
        <v>1024</v>
      </c>
      <c r="G60" s="285">
        <f>POWER(G3-G29,2)</f>
        <v>3600</v>
      </c>
      <c r="H60" s="194" t="s">
        <v>14</v>
      </c>
      <c r="I60" s="194" t="s">
        <v>15</v>
      </c>
      <c r="J60" s="286">
        <f>SUM(C60,D60,F60,G60)</f>
        <v>9248</v>
      </c>
      <c r="K60" s="288">
        <f>SQRT(J60)</f>
        <v>96.166522241370458</v>
      </c>
    </row>
    <row r="61" spans="1:11" ht="15.5" x14ac:dyDescent="0.3">
      <c r="A61" s="285">
        <v>2</v>
      </c>
      <c r="B61" s="194" t="s">
        <v>16</v>
      </c>
      <c r="C61" s="285">
        <f>POWER(C4-C29,2)</f>
        <v>484</v>
      </c>
      <c r="D61" s="285">
        <f>POWER(D4-D29,2)</f>
        <v>0</v>
      </c>
      <c r="E61" s="194" t="s">
        <v>13</v>
      </c>
      <c r="F61" s="285">
        <f>POWER(F4-F29,2)</f>
        <v>484</v>
      </c>
      <c r="G61" s="285">
        <f>POWER(G4-G29,2)</f>
        <v>0</v>
      </c>
      <c r="H61" s="194" t="s">
        <v>13</v>
      </c>
      <c r="I61" s="194" t="s">
        <v>17</v>
      </c>
      <c r="J61" s="286">
        <f t="shared" ref="J61:J78" si="2">SUM(C61,D61,F61,G61)</f>
        <v>968</v>
      </c>
      <c r="K61" s="288">
        <f t="shared" ref="K61:K79" si="3">SQRT(J61)</f>
        <v>31.11269837220809</v>
      </c>
    </row>
    <row r="62" spans="1:11" ht="15.5" x14ac:dyDescent="0.3">
      <c r="A62" s="285">
        <v>3</v>
      </c>
      <c r="B62" s="194" t="s">
        <v>18</v>
      </c>
      <c r="C62" s="285">
        <f>POWER(C5-C29,2)</f>
        <v>1600</v>
      </c>
      <c r="D62" s="285">
        <f>POWER(D5-D29,2)</f>
        <v>400</v>
      </c>
      <c r="E62" s="194" t="s">
        <v>14</v>
      </c>
      <c r="F62" s="285">
        <f>POWER(F5-F29,2)</f>
        <v>1600</v>
      </c>
      <c r="G62" s="285">
        <f>POWER(G5-G29,2)</f>
        <v>400</v>
      </c>
      <c r="H62" s="194" t="s">
        <v>14</v>
      </c>
      <c r="I62" s="194" t="s">
        <v>17</v>
      </c>
      <c r="J62" s="286">
        <f t="shared" si="2"/>
        <v>4000</v>
      </c>
      <c r="K62" s="288">
        <f t="shared" si="3"/>
        <v>63.245553203367585</v>
      </c>
    </row>
    <row r="63" spans="1:11" ht="15.5" x14ac:dyDescent="0.3">
      <c r="A63" s="285">
        <v>4</v>
      </c>
      <c r="B63" s="194" t="s">
        <v>19</v>
      </c>
      <c r="C63" s="285">
        <f>POWER(C6-C29,2)</f>
        <v>3025</v>
      </c>
      <c r="D63" s="285">
        <f>POWER(D6-D29,2)</f>
        <v>8100</v>
      </c>
      <c r="E63" s="194" t="s">
        <v>20</v>
      </c>
      <c r="F63" s="285">
        <f>POWER(F6-F29,2)</f>
        <v>3025</v>
      </c>
      <c r="G63" s="285">
        <f>POWER(G6-G29,2)</f>
        <v>8100</v>
      </c>
      <c r="H63" s="194" t="s">
        <v>13</v>
      </c>
      <c r="I63" s="194" t="s">
        <v>17</v>
      </c>
      <c r="J63" s="286">
        <f t="shared" si="2"/>
        <v>22250</v>
      </c>
      <c r="K63" s="288">
        <f t="shared" si="3"/>
        <v>149.16433890176299</v>
      </c>
    </row>
    <row r="64" spans="1:11" ht="15.5" x14ac:dyDescent="0.3">
      <c r="A64" s="285">
        <v>5</v>
      </c>
      <c r="B64" s="194" t="s">
        <v>21</v>
      </c>
      <c r="C64" s="285">
        <f>POWER(C7-C29,2)</f>
        <v>900</v>
      </c>
      <c r="D64" s="285">
        <f>POWER(D7-D29,2)</f>
        <v>5625</v>
      </c>
      <c r="E64" s="194" t="s">
        <v>13</v>
      </c>
      <c r="F64" s="285">
        <f>POWER(F7-F29,2)</f>
        <v>900</v>
      </c>
      <c r="G64" s="285">
        <f>POWER(G7-G29,2)</f>
        <v>5625</v>
      </c>
      <c r="H64" s="194" t="s">
        <v>13</v>
      </c>
      <c r="I64" s="194" t="s">
        <v>17</v>
      </c>
      <c r="J64" s="286">
        <f t="shared" si="2"/>
        <v>13050</v>
      </c>
      <c r="K64" s="288">
        <f t="shared" si="3"/>
        <v>114.23659658795863</v>
      </c>
    </row>
    <row r="65" spans="1:11" ht="15.5" x14ac:dyDescent="0.3">
      <c r="A65" s="285">
        <v>6</v>
      </c>
      <c r="B65" s="194" t="s">
        <v>22</v>
      </c>
      <c r="C65" s="285">
        <f>POWER(C8-C29,2)</f>
        <v>4900</v>
      </c>
      <c r="D65" s="285">
        <f>POWER(D8-D29,2)</f>
        <v>8100</v>
      </c>
      <c r="E65" s="194" t="s">
        <v>13</v>
      </c>
      <c r="F65" s="285">
        <f>POWER(F8-F29,2)</f>
        <v>4900</v>
      </c>
      <c r="G65" s="285">
        <f>POWER(G8-G29,2)</f>
        <v>8100</v>
      </c>
      <c r="H65" s="194" t="s">
        <v>13</v>
      </c>
      <c r="I65" s="194" t="s">
        <v>17</v>
      </c>
      <c r="J65" s="286">
        <f t="shared" si="2"/>
        <v>26000</v>
      </c>
      <c r="K65" s="288">
        <f t="shared" si="3"/>
        <v>161.24515496597098</v>
      </c>
    </row>
    <row r="66" spans="1:11" ht="15.5" x14ac:dyDescent="0.3">
      <c r="A66" s="285">
        <v>7</v>
      </c>
      <c r="B66" s="194" t="s">
        <v>23</v>
      </c>
      <c r="C66" s="285">
        <f>POWER(C9-C29,2)</f>
        <v>4624</v>
      </c>
      <c r="D66" s="285">
        <f>POWER(D9-D29,2)</f>
        <v>8100</v>
      </c>
      <c r="E66" s="194" t="s">
        <v>13</v>
      </c>
      <c r="F66" s="285">
        <f>POWER(F9-F29,2)</f>
        <v>4624</v>
      </c>
      <c r="G66" s="285">
        <f>POWER(G9-G29,2)</f>
        <v>8100</v>
      </c>
      <c r="H66" s="194" t="s">
        <v>13</v>
      </c>
      <c r="I66" s="194" t="s">
        <v>17</v>
      </c>
      <c r="J66" s="286">
        <f t="shared" si="2"/>
        <v>25448</v>
      </c>
      <c r="K66" s="288">
        <f t="shared" si="3"/>
        <v>159.52429282087414</v>
      </c>
    </row>
    <row r="67" spans="1:11" ht="15.5" x14ac:dyDescent="0.3">
      <c r="A67" s="285">
        <v>8</v>
      </c>
      <c r="B67" s="194" t="s">
        <v>24</v>
      </c>
      <c r="C67" s="285">
        <f>POWER(C10-C29,2)</f>
        <v>4225</v>
      </c>
      <c r="D67" s="285">
        <f>POWER(D10-D29,2)</f>
        <v>8100</v>
      </c>
      <c r="E67" s="194" t="s">
        <v>13</v>
      </c>
      <c r="F67" s="285">
        <f>POWER(F10-F29,2)</f>
        <v>4225</v>
      </c>
      <c r="G67" s="285">
        <f>POWER(G10-G29,2)</f>
        <v>8100</v>
      </c>
      <c r="H67" s="194" t="s">
        <v>13</v>
      </c>
      <c r="I67" s="194" t="s">
        <v>17</v>
      </c>
      <c r="J67" s="286">
        <f t="shared" si="2"/>
        <v>24650</v>
      </c>
      <c r="K67" s="288">
        <f t="shared" si="3"/>
        <v>157.00318468107582</v>
      </c>
    </row>
    <row r="68" spans="1:11" ht="15.5" x14ac:dyDescent="0.3">
      <c r="A68" s="285">
        <v>9</v>
      </c>
      <c r="B68" s="194" t="s">
        <v>12</v>
      </c>
      <c r="C68" s="285">
        <f>POWER(C11-C29,2)</f>
        <v>900</v>
      </c>
      <c r="D68" s="285">
        <f>POWER(D11-D29,2)</f>
        <v>2500</v>
      </c>
      <c r="E68" s="194" t="s">
        <v>13</v>
      </c>
      <c r="F68" s="285">
        <f>POWER(F11-F29,2)</f>
        <v>900</v>
      </c>
      <c r="G68" s="285">
        <f>POWER(G11-G29,2)</f>
        <v>2500</v>
      </c>
      <c r="H68" s="194" t="s">
        <v>13</v>
      </c>
      <c r="I68" s="194" t="s">
        <v>17</v>
      </c>
      <c r="J68" s="286">
        <f t="shared" si="2"/>
        <v>6800</v>
      </c>
      <c r="K68" s="288">
        <f t="shared" si="3"/>
        <v>82.462112512353215</v>
      </c>
    </row>
    <row r="69" spans="1:11" ht="15.5" x14ac:dyDescent="0.3">
      <c r="A69" s="285">
        <v>10</v>
      </c>
      <c r="B69" s="194" t="s">
        <v>16</v>
      </c>
      <c r="C69" s="285">
        <f>POWER(C12-C29,2)</f>
        <v>0</v>
      </c>
      <c r="D69" s="285">
        <f>POWER(D12-D29,2)</f>
        <v>0</v>
      </c>
      <c r="E69" s="194" t="s">
        <v>14</v>
      </c>
      <c r="F69" s="285">
        <f>POWER(F12-F29,2)</f>
        <v>0</v>
      </c>
      <c r="G69" s="285">
        <f>POWER(G12-G29,2)</f>
        <v>0</v>
      </c>
      <c r="H69" s="194" t="s">
        <v>14</v>
      </c>
      <c r="I69" s="194" t="s">
        <v>17</v>
      </c>
      <c r="J69" s="286">
        <f t="shared" si="2"/>
        <v>0</v>
      </c>
      <c r="K69" s="288">
        <f t="shared" si="3"/>
        <v>0</v>
      </c>
    </row>
    <row r="70" spans="1:11" ht="31" x14ac:dyDescent="0.3">
      <c r="A70" s="285">
        <v>11</v>
      </c>
      <c r="B70" s="194" t="s">
        <v>18</v>
      </c>
      <c r="C70" s="285">
        <f>POWER(C13-C29,2)</f>
        <v>1600</v>
      </c>
      <c r="D70" s="285">
        <f>POWER(D13-D29,2)</f>
        <v>2500</v>
      </c>
      <c r="E70" s="194" t="s">
        <v>25</v>
      </c>
      <c r="F70" s="285">
        <f>POWER(F13-F29,2)</f>
        <v>1600</v>
      </c>
      <c r="G70" s="285">
        <f>POWER(G13-G29,2)</f>
        <v>2500</v>
      </c>
      <c r="H70" s="194" t="s">
        <v>14</v>
      </c>
      <c r="I70" s="194" t="s">
        <v>17</v>
      </c>
      <c r="J70" s="286">
        <f t="shared" si="2"/>
        <v>8200</v>
      </c>
      <c r="K70" s="288">
        <f t="shared" si="3"/>
        <v>90.553851381374173</v>
      </c>
    </row>
    <row r="71" spans="1:11" ht="15.5" x14ac:dyDescent="0.3">
      <c r="A71" s="285">
        <v>12</v>
      </c>
      <c r="B71" s="194" t="s">
        <v>26</v>
      </c>
      <c r="C71" s="285">
        <f>POWER(C14-C29,2)</f>
        <v>1600</v>
      </c>
      <c r="D71" s="285">
        <f>POWER(D14-D29,2)</f>
        <v>0</v>
      </c>
      <c r="E71" s="194" t="s">
        <v>13</v>
      </c>
      <c r="F71" s="285">
        <f>POWER(F14-F29,2)</f>
        <v>1600</v>
      </c>
      <c r="G71" s="285">
        <f>POWER(G14-G29,2)</f>
        <v>0</v>
      </c>
      <c r="H71" s="194" t="s">
        <v>13</v>
      </c>
      <c r="I71" s="194" t="s">
        <v>17</v>
      </c>
      <c r="J71" s="286">
        <f t="shared" si="2"/>
        <v>3200</v>
      </c>
      <c r="K71" s="288">
        <f t="shared" si="3"/>
        <v>56.568542494923804</v>
      </c>
    </row>
    <row r="72" spans="1:11" ht="15.5" x14ac:dyDescent="0.3">
      <c r="A72" s="285">
        <v>13</v>
      </c>
      <c r="B72" s="194" t="s">
        <v>21</v>
      </c>
      <c r="C72" s="285">
        <f>POWER(C15-C29,2)</f>
        <v>900</v>
      </c>
      <c r="D72" s="285">
        <f>POWER(D15-D29,2)</f>
        <v>3600</v>
      </c>
      <c r="E72" s="194" t="s">
        <v>13</v>
      </c>
      <c r="F72" s="285">
        <f>POWER(F15-F29,2)</f>
        <v>900</v>
      </c>
      <c r="G72" s="285">
        <f>POWER(G15-G29,2)</f>
        <v>3600</v>
      </c>
      <c r="H72" s="194" t="s">
        <v>13</v>
      </c>
      <c r="I72" s="194" t="s">
        <v>17</v>
      </c>
      <c r="J72" s="286">
        <f t="shared" si="2"/>
        <v>9000</v>
      </c>
      <c r="K72" s="288">
        <f t="shared" si="3"/>
        <v>94.868329805051374</v>
      </c>
    </row>
    <row r="73" spans="1:11" ht="15.5" x14ac:dyDescent="0.3">
      <c r="A73" s="285">
        <v>14</v>
      </c>
      <c r="B73" s="194" t="s">
        <v>22</v>
      </c>
      <c r="C73" s="285">
        <f>POWER(C16-C29,2)</f>
        <v>5184</v>
      </c>
      <c r="D73" s="285">
        <f>POWER(D16-D29,2)</f>
        <v>8100</v>
      </c>
      <c r="E73" s="194" t="s">
        <v>14</v>
      </c>
      <c r="F73" s="285">
        <f>POWER(F16-F29,2)</f>
        <v>5184</v>
      </c>
      <c r="G73" s="285">
        <f>POWER(G16-G29,2)</f>
        <v>8100</v>
      </c>
      <c r="H73" s="194" t="s">
        <v>14</v>
      </c>
      <c r="I73" s="194" t="s">
        <v>17</v>
      </c>
      <c r="J73" s="286">
        <f t="shared" si="2"/>
        <v>26568</v>
      </c>
      <c r="K73" s="288">
        <f t="shared" si="3"/>
        <v>162.9969324864735</v>
      </c>
    </row>
    <row r="74" spans="1:11" ht="15.5" x14ac:dyDescent="0.3">
      <c r="A74" s="285">
        <v>15</v>
      </c>
      <c r="B74" s="194" t="s">
        <v>23</v>
      </c>
      <c r="C74" s="285">
        <f>POWER(C17-C29,2)</f>
        <v>3600</v>
      </c>
      <c r="D74" s="285">
        <f>POWER(D17-D29,2)</f>
        <v>8100</v>
      </c>
      <c r="E74" s="194" t="s">
        <v>13</v>
      </c>
      <c r="F74" s="285">
        <f>POWER(F17-F29,2)</f>
        <v>3600</v>
      </c>
      <c r="G74" s="285">
        <f>POWER(G17-G29,2)</f>
        <v>8100</v>
      </c>
      <c r="H74" s="194" t="s">
        <v>13</v>
      </c>
      <c r="I74" s="194" t="s">
        <v>17</v>
      </c>
      <c r="J74" s="286">
        <f t="shared" si="2"/>
        <v>23400</v>
      </c>
      <c r="K74" s="288">
        <f t="shared" si="3"/>
        <v>152.97058540778355</v>
      </c>
    </row>
    <row r="75" spans="1:11" ht="15.5" x14ac:dyDescent="0.3">
      <c r="A75" s="285">
        <v>16</v>
      </c>
      <c r="B75" s="194" t="s">
        <v>24</v>
      </c>
      <c r="C75" s="285">
        <f>POWER(C18-C29,2)</f>
        <v>3025</v>
      </c>
      <c r="D75" s="285">
        <f>POWER(D18-D29,2)</f>
        <v>8100</v>
      </c>
      <c r="E75" s="194" t="s">
        <v>13</v>
      </c>
      <c r="F75" s="285">
        <f>POWER(F18-F29,2)</f>
        <v>3025</v>
      </c>
      <c r="G75" s="285">
        <f>POWER(G18-G29,2)</f>
        <v>8100</v>
      </c>
      <c r="H75" s="194" t="s">
        <v>13</v>
      </c>
      <c r="I75" s="194" t="s">
        <v>17</v>
      </c>
      <c r="J75" s="286">
        <f t="shared" si="2"/>
        <v>22250</v>
      </c>
      <c r="K75" s="288">
        <f t="shared" si="3"/>
        <v>149.16433890176299</v>
      </c>
    </row>
    <row r="76" spans="1:11" ht="15.5" x14ac:dyDescent="0.3">
      <c r="A76" s="285">
        <v>17</v>
      </c>
      <c r="B76" s="194" t="s">
        <v>12</v>
      </c>
      <c r="C76" s="285">
        <f>POWER(C19-C29,2)</f>
        <v>1225</v>
      </c>
      <c r="D76" s="285">
        <f>POWER(D19-D29,2)</f>
        <v>0</v>
      </c>
      <c r="E76" s="194" t="s">
        <v>13</v>
      </c>
      <c r="F76" s="285">
        <f>POWER(F19-F29,2)</f>
        <v>1225</v>
      </c>
      <c r="G76" s="285">
        <f>POWER(G19-G29,2)</f>
        <v>0</v>
      </c>
      <c r="H76" s="194" t="s">
        <v>13</v>
      </c>
      <c r="I76" s="194" t="s">
        <v>17</v>
      </c>
      <c r="J76" s="286">
        <f t="shared" si="2"/>
        <v>2450</v>
      </c>
      <c r="K76" s="288">
        <f t="shared" si="3"/>
        <v>49.497474683058329</v>
      </c>
    </row>
    <row r="77" spans="1:11" ht="15.5" x14ac:dyDescent="0.3">
      <c r="A77" s="285">
        <v>18</v>
      </c>
      <c r="B77" s="194" t="s">
        <v>16</v>
      </c>
      <c r="C77" s="285">
        <f>POWER(C20-C29,2)</f>
        <v>25</v>
      </c>
      <c r="D77" s="285">
        <f>POWER(D20-D29,2)</f>
        <v>100</v>
      </c>
      <c r="E77" s="194" t="s">
        <v>14</v>
      </c>
      <c r="F77" s="285">
        <f>POWER(F20-F29,2)</f>
        <v>25</v>
      </c>
      <c r="G77" s="285">
        <f>POWER(G20-G29,2)</f>
        <v>100</v>
      </c>
      <c r="H77" s="194" t="s">
        <v>14</v>
      </c>
      <c r="I77" s="194" t="s">
        <v>17</v>
      </c>
      <c r="J77" s="286">
        <f t="shared" si="2"/>
        <v>250</v>
      </c>
      <c r="K77" s="288">
        <f t="shared" si="3"/>
        <v>15.811388300841896</v>
      </c>
    </row>
    <row r="78" spans="1:11" ht="15.5" x14ac:dyDescent="0.3">
      <c r="A78" s="285">
        <v>19</v>
      </c>
      <c r="B78" s="194" t="s">
        <v>18</v>
      </c>
      <c r="C78" s="285">
        <f>POWER(C21-C29,2)</f>
        <v>0</v>
      </c>
      <c r="D78" s="285">
        <f>POWER(D21-D29,2)</f>
        <v>0</v>
      </c>
      <c r="E78" s="194" t="s">
        <v>14</v>
      </c>
      <c r="F78" s="285">
        <f>POWER(F21-F29,2)</f>
        <v>0</v>
      </c>
      <c r="G78" s="285">
        <f>POWER(G21-G29,2)</f>
        <v>0</v>
      </c>
      <c r="H78" s="194" t="s">
        <v>27</v>
      </c>
      <c r="I78" s="194" t="s">
        <v>17</v>
      </c>
      <c r="J78" s="286">
        <f t="shared" si="2"/>
        <v>0</v>
      </c>
      <c r="K78" s="288">
        <f t="shared" si="3"/>
        <v>0</v>
      </c>
    </row>
    <row r="79" spans="1:11" ht="15.5" x14ac:dyDescent="0.3">
      <c r="A79" s="285">
        <v>20</v>
      </c>
      <c r="B79" s="194" t="s">
        <v>21</v>
      </c>
      <c r="C79" s="285">
        <f>POWER(C22-C29,2)</f>
        <v>400</v>
      </c>
      <c r="D79" s="285">
        <f>POWER(D22-D29,2)</f>
        <v>2500</v>
      </c>
      <c r="E79" s="194" t="s">
        <v>13</v>
      </c>
      <c r="F79" s="285">
        <f>POWER(F22-F29,2)</f>
        <v>400</v>
      </c>
      <c r="G79" s="285">
        <f>POWER(G22-G29,2)</f>
        <v>2500</v>
      </c>
      <c r="H79" s="194" t="s">
        <v>13</v>
      </c>
      <c r="I79" s="194" t="s">
        <v>17</v>
      </c>
      <c r="J79" s="286">
        <f>SUM(C79,D79,F79,G79)</f>
        <v>5800</v>
      </c>
      <c r="K79" s="288">
        <f t="shared" si="3"/>
        <v>76.157731058639087</v>
      </c>
    </row>
    <row r="82" spans="1:10" ht="15.5" x14ac:dyDescent="0.3">
      <c r="A82" s="196" t="s">
        <v>31</v>
      </c>
      <c r="B82" s="196"/>
      <c r="C82" s="196"/>
      <c r="D82" s="196"/>
      <c r="E82" s="196"/>
      <c r="F82" s="196"/>
      <c r="G82" s="196"/>
      <c r="H82" s="196"/>
      <c r="I82" s="196"/>
      <c r="J82" s="196"/>
    </row>
    <row r="83" spans="1:10" x14ac:dyDescent="0.3">
      <c r="A83" s="197" t="s">
        <v>3</v>
      </c>
      <c r="B83" s="197" t="s">
        <v>4</v>
      </c>
      <c r="C83" s="198" t="s">
        <v>32</v>
      </c>
      <c r="D83" s="198"/>
      <c r="E83" s="198"/>
      <c r="F83" s="198" t="s">
        <v>33</v>
      </c>
      <c r="G83" s="198"/>
      <c r="H83" s="198"/>
      <c r="I83" s="198" t="s">
        <v>34</v>
      </c>
      <c r="J83" s="198"/>
    </row>
    <row r="84" spans="1:10" x14ac:dyDescent="0.3">
      <c r="A84" s="197"/>
      <c r="B84" s="197"/>
      <c r="C84" s="198"/>
      <c r="D84" s="198"/>
      <c r="E84" s="198"/>
      <c r="F84" s="198"/>
      <c r="G84" s="198"/>
      <c r="H84" s="198"/>
      <c r="I84" s="198"/>
      <c r="J84" s="198"/>
    </row>
    <row r="85" spans="1:10" ht="15.5" x14ac:dyDescent="0.3">
      <c r="A85" s="285">
        <v>1</v>
      </c>
      <c r="B85" s="194" t="s">
        <v>12</v>
      </c>
      <c r="C85" s="290">
        <f>SQRT(J35)</f>
        <v>127.1927670899568</v>
      </c>
      <c r="D85" s="290"/>
      <c r="E85" s="290"/>
      <c r="F85" s="290">
        <f>SQRT(J60)</f>
        <v>96.166522241370458</v>
      </c>
      <c r="G85" s="290"/>
      <c r="H85" s="290"/>
      <c r="I85" s="16" t="s">
        <v>35</v>
      </c>
      <c r="J85" s="16"/>
    </row>
    <row r="86" spans="1:10" ht="15.5" x14ac:dyDescent="0.3">
      <c r="A86" s="285">
        <v>2</v>
      </c>
      <c r="B86" s="194" t="s">
        <v>16</v>
      </c>
      <c r="C86" s="290">
        <f t="shared" ref="C86:C104" si="4">SQRT(J36)</f>
        <v>18.384776310850235</v>
      </c>
      <c r="D86" s="290"/>
      <c r="E86" s="290"/>
      <c r="F86" s="290">
        <f t="shared" ref="F86:F104" si="5">SQRT(J61)</f>
        <v>31.11269837220809</v>
      </c>
      <c r="G86" s="290"/>
      <c r="H86" s="290"/>
      <c r="I86" s="16" t="s">
        <v>36</v>
      </c>
      <c r="J86" s="16"/>
    </row>
    <row r="87" spans="1:10" ht="15.5" x14ac:dyDescent="0.3">
      <c r="A87" s="285">
        <v>3</v>
      </c>
      <c r="B87" s="194" t="s">
        <v>18</v>
      </c>
      <c r="C87" s="290">
        <f t="shared" si="4"/>
        <v>109.77249200050075</v>
      </c>
      <c r="D87" s="290"/>
      <c r="E87" s="290"/>
      <c r="F87" s="290">
        <f t="shared" si="5"/>
        <v>63.245553203367585</v>
      </c>
      <c r="G87" s="290"/>
      <c r="H87" s="290"/>
      <c r="I87" s="16" t="s">
        <v>35</v>
      </c>
      <c r="J87" s="16"/>
    </row>
    <row r="88" spans="1:10" ht="15.5" x14ac:dyDescent="0.3">
      <c r="A88" s="285">
        <v>4</v>
      </c>
      <c r="B88" s="194" t="s">
        <v>19</v>
      </c>
      <c r="C88" s="290">
        <f t="shared" si="4"/>
        <v>180</v>
      </c>
      <c r="D88" s="290"/>
      <c r="E88" s="290"/>
      <c r="F88" s="290">
        <f t="shared" si="5"/>
        <v>149.16433890176299</v>
      </c>
      <c r="G88" s="290"/>
      <c r="H88" s="290"/>
      <c r="I88" s="16" t="s">
        <v>35</v>
      </c>
      <c r="J88" s="16"/>
    </row>
    <row r="89" spans="1:10" ht="15.5" x14ac:dyDescent="0.3">
      <c r="A89" s="285">
        <v>5</v>
      </c>
      <c r="B89" s="194" t="s">
        <v>21</v>
      </c>
      <c r="C89" s="290">
        <f t="shared" si="4"/>
        <v>140.356688476182</v>
      </c>
      <c r="D89" s="290"/>
      <c r="E89" s="290"/>
      <c r="F89" s="290">
        <f t="shared" si="5"/>
        <v>114.23659658795863</v>
      </c>
      <c r="G89" s="290"/>
      <c r="H89" s="290"/>
      <c r="I89" s="16" t="s">
        <v>35</v>
      </c>
      <c r="J89" s="16"/>
    </row>
    <row r="90" spans="1:10" ht="15.5" x14ac:dyDescent="0.3">
      <c r="A90" s="285">
        <v>6</v>
      </c>
      <c r="B90" s="194" t="s">
        <v>22</v>
      </c>
      <c r="C90" s="290">
        <f t="shared" si="4"/>
        <v>195.57607215607945</v>
      </c>
      <c r="D90" s="290"/>
      <c r="E90" s="290"/>
      <c r="F90" s="290">
        <f t="shared" si="5"/>
        <v>161.24515496597098</v>
      </c>
      <c r="G90" s="290"/>
      <c r="H90" s="290"/>
      <c r="I90" s="16" t="s">
        <v>35</v>
      </c>
      <c r="J90" s="16"/>
    </row>
    <row r="91" spans="1:10" ht="15.5" x14ac:dyDescent="0.3">
      <c r="A91" s="285">
        <v>7</v>
      </c>
      <c r="B91" s="194" t="s">
        <v>23</v>
      </c>
      <c r="C91" s="290">
        <f t="shared" si="4"/>
        <v>193.43732835210477</v>
      </c>
      <c r="D91" s="290"/>
      <c r="E91" s="290"/>
      <c r="F91" s="290">
        <f t="shared" si="5"/>
        <v>159.52429282087414</v>
      </c>
      <c r="G91" s="290"/>
      <c r="H91" s="290"/>
      <c r="I91" s="16" t="s">
        <v>35</v>
      </c>
      <c r="J91" s="16"/>
    </row>
    <row r="92" spans="1:10" ht="15.5" x14ac:dyDescent="0.3">
      <c r="A92" s="285">
        <v>8</v>
      </c>
      <c r="B92" s="194" t="s">
        <v>24</v>
      </c>
      <c r="C92" s="290">
        <f t="shared" si="4"/>
        <v>190.26297590440447</v>
      </c>
      <c r="D92" s="290"/>
      <c r="E92" s="290"/>
      <c r="F92" s="290">
        <f t="shared" si="5"/>
        <v>157.00318468107582</v>
      </c>
      <c r="G92" s="290"/>
      <c r="H92" s="290"/>
      <c r="I92" s="16" t="s">
        <v>35</v>
      </c>
      <c r="J92" s="16"/>
    </row>
    <row r="93" spans="1:10" ht="15.5" x14ac:dyDescent="0.3">
      <c r="A93" s="285">
        <v>9</v>
      </c>
      <c r="B93" s="194" t="s">
        <v>12</v>
      </c>
      <c r="C93" s="290">
        <f t="shared" si="4"/>
        <v>115.97413504743201</v>
      </c>
      <c r="D93" s="290"/>
      <c r="E93" s="290"/>
      <c r="F93" s="290">
        <f t="shared" si="5"/>
        <v>82.462112512353215</v>
      </c>
      <c r="G93" s="290"/>
      <c r="H93" s="290"/>
      <c r="I93" s="16" t="s">
        <v>35</v>
      </c>
      <c r="J93" s="16"/>
    </row>
    <row r="94" spans="1:10" ht="15.5" x14ac:dyDescent="0.3">
      <c r="A94" s="285">
        <v>10</v>
      </c>
      <c r="B94" s="194" t="s">
        <v>16</v>
      </c>
      <c r="C94" s="290">
        <f t="shared" si="4"/>
        <v>49.497474683058329</v>
      </c>
      <c r="D94" s="290"/>
      <c r="E94" s="290"/>
      <c r="F94" s="290">
        <f t="shared" si="5"/>
        <v>0</v>
      </c>
      <c r="G94" s="290"/>
      <c r="H94" s="290"/>
      <c r="I94" s="16" t="s">
        <v>35</v>
      </c>
      <c r="J94" s="16"/>
    </row>
    <row r="95" spans="1:10" ht="15.5" x14ac:dyDescent="0.3">
      <c r="A95" s="285">
        <v>11</v>
      </c>
      <c r="B95" s="194" t="s">
        <v>18</v>
      </c>
      <c r="C95" s="290">
        <f t="shared" si="4"/>
        <v>127.47548783981962</v>
      </c>
      <c r="D95" s="290"/>
      <c r="E95" s="290"/>
      <c r="F95" s="290">
        <f t="shared" si="5"/>
        <v>90.553851381374173</v>
      </c>
      <c r="G95" s="290"/>
      <c r="H95" s="290"/>
      <c r="I95" s="16" t="s">
        <v>35</v>
      </c>
      <c r="J95" s="16"/>
    </row>
    <row r="96" spans="1:10" ht="15.5" x14ac:dyDescent="0.3">
      <c r="A96" s="285">
        <v>12</v>
      </c>
      <c r="B96" s="194" t="s">
        <v>26</v>
      </c>
      <c r="C96" s="290">
        <f t="shared" si="4"/>
        <v>7.0710678118654755</v>
      </c>
      <c r="D96" s="290"/>
      <c r="E96" s="290"/>
      <c r="F96" s="290">
        <f t="shared" si="5"/>
        <v>56.568542494923804</v>
      </c>
      <c r="G96" s="290"/>
      <c r="H96" s="290"/>
      <c r="I96" s="16" t="s">
        <v>36</v>
      </c>
      <c r="J96" s="16"/>
    </row>
    <row r="97" spans="1:12" ht="15.5" x14ac:dyDescent="0.3">
      <c r="A97" s="285">
        <v>13</v>
      </c>
      <c r="B97" s="194" t="s">
        <v>21</v>
      </c>
      <c r="C97" s="290">
        <f t="shared" si="4"/>
        <v>125.09996003196804</v>
      </c>
      <c r="D97" s="290"/>
      <c r="E97" s="290"/>
      <c r="F97" s="290">
        <f t="shared" si="5"/>
        <v>94.868329805051374</v>
      </c>
      <c r="G97" s="290"/>
      <c r="H97" s="290"/>
      <c r="I97" s="16" t="s">
        <v>35</v>
      </c>
      <c r="J97" s="16"/>
    </row>
    <row r="98" spans="1:12" ht="15.5" x14ac:dyDescent="0.3">
      <c r="A98" s="285">
        <v>14</v>
      </c>
      <c r="B98" s="194" t="s">
        <v>22</v>
      </c>
      <c r="C98" s="290">
        <f t="shared" si="4"/>
        <v>197.73214205080569</v>
      </c>
      <c r="D98" s="290"/>
      <c r="E98" s="290"/>
      <c r="F98" s="290">
        <f t="shared" si="5"/>
        <v>162.9969324864735</v>
      </c>
      <c r="G98" s="290"/>
      <c r="H98" s="290"/>
      <c r="I98" s="16" t="s">
        <v>35</v>
      </c>
      <c r="J98" s="16"/>
    </row>
    <row r="99" spans="1:12" ht="15.5" x14ac:dyDescent="0.3">
      <c r="A99" s="285">
        <v>15</v>
      </c>
      <c r="B99" s="194" t="s">
        <v>23</v>
      </c>
      <c r="C99" s="290">
        <f t="shared" si="4"/>
        <v>185.06755523321746</v>
      </c>
      <c r="D99" s="290"/>
      <c r="E99" s="290"/>
      <c r="F99" s="290">
        <f t="shared" si="5"/>
        <v>152.97058540778355</v>
      </c>
      <c r="G99" s="290"/>
      <c r="H99" s="290"/>
      <c r="I99" s="16" t="s">
        <v>35</v>
      </c>
      <c r="J99" s="16"/>
    </row>
    <row r="100" spans="1:12" ht="15.5" x14ac:dyDescent="0.3">
      <c r="A100" s="285">
        <v>16</v>
      </c>
      <c r="B100" s="194" t="s">
        <v>24</v>
      </c>
      <c r="C100" s="290">
        <f t="shared" si="4"/>
        <v>180</v>
      </c>
      <c r="D100" s="290"/>
      <c r="E100" s="290"/>
      <c r="F100" s="290">
        <f t="shared" si="5"/>
        <v>149.16433890176299</v>
      </c>
      <c r="G100" s="290"/>
      <c r="H100" s="290"/>
      <c r="I100" s="16" t="s">
        <v>35</v>
      </c>
      <c r="J100" s="16"/>
    </row>
    <row r="101" spans="1:12" ht="15.5" x14ac:dyDescent="0.3">
      <c r="A101" s="285">
        <v>17</v>
      </c>
      <c r="B101" s="194" t="s">
        <v>12</v>
      </c>
      <c r="C101" s="290">
        <f t="shared" si="4"/>
        <v>0</v>
      </c>
      <c r="D101" s="290"/>
      <c r="E101" s="290"/>
      <c r="F101" s="290">
        <f t="shared" si="5"/>
        <v>49.497474683058329</v>
      </c>
      <c r="G101" s="290"/>
      <c r="H101" s="290"/>
      <c r="I101" s="16" t="s">
        <v>36</v>
      </c>
      <c r="J101" s="16"/>
    </row>
    <row r="102" spans="1:12" ht="15.5" x14ac:dyDescent="0.3">
      <c r="A102" s="285">
        <v>18</v>
      </c>
      <c r="B102" s="194" t="s">
        <v>16</v>
      </c>
      <c r="C102" s="290">
        <f t="shared" si="4"/>
        <v>44.721359549995796</v>
      </c>
      <c r="D102" s="290"/>
      <c r="E102" s="290"/>
      <c r="F102" s="290">
        <f t="shared" si="5"/>
        <v>15.811388300841896</v>
      </c>
      <c r="G102" s="290"/>
      <c r="H102" s="290"/>
      <c r="I102" s="16" t="s">
        <v>35</v>
      </c>
      <c r="J102" s="16"/>
    </row>
    <row r="103" spans="1:12" ht="15.5" x14ac:dyDescent="0.3">
      <c r="A103" s="285">
        <v>19</v>
      </c>
      <c r="B103" s="194" t="s">
        <v>18</v>
      </c>
      <c r="C103" s="290">
        <f t="shared" si="4"/>
        <v>49.497474683058329</v>
      </c>
      <c r="D103" s="290"/>
      <c r="E103" s="290"/>
      <c r="F103" s="290">
        <f t="shared" si="5"/>
        <v>0</v>
      </c>
      <c r="G103" s="290"/>
      <c r="H103" s="290"/>
      <c r="I103" s="16" t="s">
        <v>35</v>
      </c>
      <c r="J103" s="16"/>
    </row>
    <row r="104" spans="1:12" ht="15.5" x14ac:dyDescent="0.3">
      <c r="A104" s="285">
        <v>20</v>
      </c>
      <c r="B104" s="194" t="s">
        <v>21</v>
      </c>
      <c r="C104" s="290">
        <f t="shared" si="4"/>
        <v>105.11898020814318</v>
      </c>
      <c r="D104" s="290"/>
      <c r="E104" s="290"/>
      <c r="F104" s="290">
        <f t="shared" si="5"/>
        <v>76.157731058639087</v>
      </c>
      <c r="G104" s="290"/>
      <c r="H104" s="290"/>
      <c r="I104" s="16" t="s">
        <v>35</v>
      </c>
      <c r="J104" s="16"/>
    </row>
    <row r="107" spans="1:12" ht="15.5" x14ac:dyDescent="0.3">
      <c r="A107" s="199" t="s">
        <v>37</v>
      </c>
      <c r="B107" s="199"/>
      <c r="C107" s="199"/>
      <c r="D107" s="199"/>
      <c r="E107" s="199"/>
      <c r="F107" s="199"/>
      <c r="G107" s="199"/>
      <c r="H107" s="199"/>
      <c r="I107" s="199"/>
      <c r="J107" s="3"/>
      <c r="K107" s="3"/>
      <c r="L107" s="3"/>
    </row>
    <row r="108" spans="1:12" ht="13" customHeight="1" x14ac:dyDescent="0.3">
      <c r="A108" s="11" t="s">
        <v>3</v>
      </c>
      <c r="B108" s="11" t="s">
        <v>39</v>
      </c>
      <c r="C108" s="11"/>
      <c r="D108" s="12" t="s">
        <v>5</v>
      </c>
      <c r="E108" s="12"/>
      <c r="F108" s="12" t="s">
        <v>6</v>
      </c>
      <c r="G108" s="12"/>
      <c r="H108" s="11" t="s">
        <v>30</v>
      </c>
      <c r="I108" s="11"/>
    </row>
    <row r="109" spans="1:12" ht="15.5" x14ac:dyDescent="0.3">
      <c r="A109" s="11"/>
      <c r="B109" s="11"/>
      <c r="C109" s="11"/>
      <c r="D109" s="13" t="s">
        <v>8</v>
      </c>
      <c r="E109" s="13" t="s">
        <v>9</v>
      </c>
      <c r="F109" s="13" t="s">
        <v>9</v>
      </c>
      <c r="G109" s="13" t="s">
        <v>8</v>
      </c>
      <c r="H109" s="11"/>
      <c r="I109" s="11"/>
    </row>
    <row r="110" spans="1:12" ht="15.5" x14ac:dyDescent="0.3">
      <c r="A110" s="288">
        <v>1</v>
      </c>
      <c r="B110" s="17" t="s">
        <v>36</v>
      </c>
      <c r="C110" s="17" t="s">
        <v>35</v>
      </c>
      <c r="D110" s="288">
        <f>POWER(C28-C29,2)</f>
        <v>1225</v>
      </c>
      <c r="E110" s="288">
        <f>POWER(D28-D29,2)</f>
        <v>0</v>
      </c>
      <c r="F110" s="288">
        <f>POWER(F28-F29,2)</f>
        <v>1225</v>
      </c>
      <c r="G110" s="288">
        <f>POWER(G28-G29,2)</f>
        <v>0</v>
      </c>
      <c r="H110" s="288">
        <f>SUM(D110:G110)</f>
        <v>2450</v>
      </c>
      <c r="I110" s="288">
        <f>SQRT(H110)</f>
        <v>49.497474683058329</v>
      </c>
    </row>
    <row r="111" spans="1:12" ht="15.5" x14ac:dyDescent="0.3">
      <c r="A111" s="291" t="s">
        <v>38</v>
      </c>
      <c r="B111" s="292"/>
      <c r="C111" s="292"/>
      <c r="D111" s="292"/>
      <c r="E111" s="292"/>
      <c r="F111" s="292"/>
      <c r="G111" s="292"/>
      <c r="H111" s="293"/>
      <c r="I111" s="288">
        <f>I110</f>
        <v>49.497474683058329</v>
      </c>
      <c r="K111" s="1">
        <f>I111/J116</f>
        <v>1.0125081758184005E-3</v>
      </c>
    </row>
    <row r="113" spans="1:10" ht="15.5" x14ac:dyDescent="0.3">
      <c r="A113" s="10" t="s">
        <v>40</v>
      </c>
      <c r="B113" s="10"/>
      <c r="C113" s="10"/>
      <c r="D113" s="10"/>
      <c r="E113" s="10"/>
      <c r="F113" s="10"/>
      <c r="G113" s="10"/>
      <c r="H113" s="10"/>
    </row>
    <row r="114" spans="1:10" ht="15.5" x14ac:dyDescent="0.3">
      <c r="A114" s="200" t="s">
        <v>3</v>
      </c>
      <c r="B114" s="200" t="s">
        <v>4</v>
      </c>
      <c r="C114" s="196" t="s">
        <v>34</v>
      </c>
      <c r="D114" s="196"/>
      <c r="E114" s="196"/>
      <c r="F114" s="201" t="s">
        <v>41</v>
      </c>
      <c r="G114" s="201"/>
      <c r="H114" s="201"/>
    </row>
    <row r="115" spans="1:10" ht="15.5" x14ac:dyDescent="0.3">
      <c r="A115" s="200"/>
      <c r="B115" s="200"/>
      <c r="C115" s="196"/>
      <c r="D115" s="196"/>
      <c r="E115" s="196"/>
      <c r="F115" s="201" t="s">
        <v>42</v>
      </c>
      <c r="G115" s="201"/>
      <c r="H115" s="201"/>
    </row>
    <row r="116" spans="1:10" ht="15.5" x14ac:dyDescent="0.3">
      <c r="A116" s="285">
        <v>1</v>
      </c>
      <c r="B116" s="194" t="s">
        <v>12</v>
      </c>
      <c r="C116" s="290">
        <f>F85</f>
        <v>96.166522241370458</v>
      </c>
      <c r="D116" s="290"/>
      <c r="E116" s="290"/>
      <c r="F116" s="290">
        <f>POWER(C116,2)</f>
        <v>9247.9999999999982</v>
      </c>
      <c r="G116" s="290"/>
      <c r="H116" s="290"/>
      <c r="J116" s="1">
        <f>SUM(F116:H120)</f>
        <v>48886</v>
      </c>
    </row>
    <row r="117" spans="1:10" ht="15.5" x14ac:dyDescent="0.3">
      <c r="A117" s="285">
        <v>2</v>
      </c>
      <c r="B117" s="194" t="s">
        <v>16</v>
      </c>
      <c r="C117" s="290">
        <f>C86</f>
        <v>18.384776310850235</v>
      </c>
      <c r="D117" s="290"/>
      <c r="E117" s="290"/>
      <c r="F117" s="290">
        <f t="shared" ref="F117:F135" si="6">POWER(C117,2)</f>
        <v>338</v>
      </c>
      <c r="G117" s="290"/>
      <c r="H117" s="290"/>
    </row>
    <row r="118" spans="1:10" ht="15.5" x14ac:dyDescent="0.3">
      <c r="A118" s="285">
        <v>3</v>
      </c>
      <c r="B118" s="194" t="s">
        <v>18</v>
      </c>
      <c r="C118" s="290">
        <f>F87</f>
        <v>63.245553203367585</v>
      </c>
      <c r="D118" s="290"/>
      <c r="E118" s="290"/>
      <c r="F118" s="290">
        <f t="shared" si="6"/>
        <v>4000</v>
      </c>
      <c r="G118" s="290"/>
      <c r="H118" s="290"/>
    </row>
    <row r="119" spans="1:10" ht="15.5" x14ac:dyDescent="0.3">
      <c r="A119" s="285">
        <v>4</v>
      </c>
      <c r="B119" s="194" t="s">
        <v>19</v>
      </c>
      <c r="C119" s="290">
        <f>F88</f>
        <v>149.16433890176299</v>
      </c>
      <c r="D119" s="290"/>
      <c r="E119" s="290"/>
      <c r="F119" s="290">
        <f t="shared" si="6"/>
        <v>22250.000000000004</v>
      </c>
      <c r="G119" s="290"/>
      <c r="H119" s="290"/>
    </row>
    <row r="120" spans="1:10" ht="15.5" x14ac:dyDescent="0.3">
      <c r="A120" s="285">
        <v>5</v>
      </c>
      <c r="B120" s="194" t="s">
        <v>21</v>
      </c>
      <c r="C120" s="290">
        <f>F89</f>
        <v>114.23659658795863</v>
      </c>
      <c r="D120" s="290"/>
      <c r="E120" s="290"/>
      <c r="F120" s="290">
        <f t="shared" si="6"/>
        <v>13050.000000000002</v>
      </c>
      <c r="G120" s="290"/>
      <c r="H120" s="290"/>
    </row>
    <row r="121" spans="1:10" ht="15.5" x14ac:dyDescent="0.3">
      <c r="A121" s="285">
        <v>6</v>
      </c>
      <c r="B121" s="194" t="s">
        <v>22</v>
      </c>
      <c r="C121" s="290">
        <f>F90</f>
        <v>161.24515496597098</v>
      </c>
      <c r="D121" s="290"/>
      <c r="E121" s="290"/>
      <c r="F121" s="290">
        <f t="shared" si="6"/>
        <v>25999.999999999996</v>
      </c>
      <c r="G121" s="290"/>
      <c r="H121" s="290"/>
    </row>
    <row r="122" spans="1:10" ht="15.5" x14ac:dyDescent="0.3">
      <c r="A122" s="285">
        <v>7</v>
      </c>
      <c r="B122" s="194" t="s">
        <v>23</v>
      </c>
      <c r="C122" s="290">
        <f>F91</f>
        <v>159.52429282087414</v>
      </c>
      <c r="D122" s="290"/>
      <c r="E122" s="290"/>
      <c r="F122" s="290">
        <f t="shared" si="6"/>
        <v>25447.999999999996</v>
      </c>
      <c r="G122" s="290"/>
      <c r="H122" s="290"/>
    </row>
    <row r="123" spans="1:10" ht="15.5" x14ac:dyDescent="0.3">
      <c r="A123" s="285">
        <v>8</v>
      </c>
      <c r="B123" s="194" t="s">
        <v>24</v>
      </c>
      <c r="C123" s="290">
        <f>F92</f>
        <v>157.00318468107582</v>
      </c>
      <c r="D123" s="290"/>
      <c r="E123" s="290"/>
      <c r="F123" s="290">
        <f t="shared" si="6"/>
        <v>24650</v>
      </c>
      <c r="G123" s="290"/>
      <c r="H123" s="290"/>
    </row>
    <row r="124" spans="1:10" ht="15.5" x14ac:dyDescent="0.3">
      <c r="A124" s="285">
        <v>9</v>
      </c>
      <c r="B124" s="194" t="s">
        <v>12</v>
      </c>
      <c r="C124" s="290">
        <f>F93</f>
        <v>82.462112512353215</v>
      </c>
      <c r="D124" s="290"/>
      <c r="E124" s="290"/>
      <c r="F124" s="290">
        <f t="shared" si="6"/>
        <v>6800.0000000000009</v>
      </c>
      <c r="G124" s="290"/>
      <c r="H124" s="290"/>
    </row>
    <row r="125" spans="1:10" ht="15.5" x14ac:dyDescent="0.3">
      <c r="A125" s="285">
        <v>10</v>
      </c>
      <c r="B125" s="194" t="s">
        <v>16</v>
      </c>
      <c r="C125" s="290">
        <f>F94</f>
        <v>0</v>
      </c>
      <c r="D125" s="290"/>
      <c r="E125" s="290"/>
      <c r="F125" s="290">
        <f t="shared" si="6"/>
        <v>0</v>
      </c>
      <c r="G125" s="290"/>
      <c r="H125" s="290"/>
    </row>
    <row r="126" spans="1:10" ht="15.5" x14ac:dyDescent="0.3">
      <c r="A126" s="285">
        <v>11</v>
      </c>
      <c r="B126" s="194" t="s">
        <v>18</v>
      </c>
      <c r="C126" s="290">
        <f>F95</f>
        <v>90.553851381374173</v>
      </c>
      <c r="D126" s="290"/>
      <c r="E126" s="290"/>
      <c r="F126" s="290">
        <f t="shared" si="6"/>
        <v>8200.0000000000018</v>
      </c>
      <c r="G126" s="290"/>
      <c r="H126" s="290"/>
    </row>
    <row r="127" spans="1:10" ht="15.5" x14ac:dyDescent="0.3">
      <c r="A127" s="285">
        <v>12</v>
      </c>
      <c r="B127" s="194" t="s">
        <v>26</v>
      </c>
      <c r="C127" s="290">
        <f>C96</f>
        <v>7.0710678118654755</v>
      </c>
      <c r="D127" s="290"/>
      <c r="E127" s="290"/>
      <c r="F127" s="290">
        <f t="shared" si="6"/>
        <v>50.000000000000007</v>
      </c>
      <c r="G127" s="290"/>
      <c r="H127" s="290"/>
    </row>
    <row r="128" spans="1:10" ht="15.5" x14ac:dyDescent="0.3">
      <c r="A128" s="285">
        <v>13</v>
      </c>
      <c r="B128" s="194" t="s">
        <v>21</v>
      </c>
      <c r="C128" s="290">
        <f>F97</f>
        <v>94.868329805051374</v>
      </c>
      <c r="D128" s="290"/>
      <c r="E128" s="290"/>
      <c r="F128" s="290">
        <f t="shared" si="6"/>
        <v>8999.9999999999982</v>
      </c>
      <c r="G128" s="290"/>
      <c r="H128" s="290"/>
    </row>
    <row r="129" spans="1:9" ht="15.5" x14ac:dyDescent="0.3">
      <c r="A129" s="285">
        <v>14</v>
      </c>
      <c r="B129" s="194" t="s">
        <v>22</v>
      </c>
      <c r="C129" s="290">
        <f>F98</f>
        <v>162.9969324864735</v>
      </c>
      <c r="D129" s="290"/>
      <c r="E129" s="290"/>
      <c r="F129" s="290">
        <f t="shared" si="6"/>
        <v>26568</v>
      </c>
      <c r="G129" s="290"/>
      <c r="H129" s="290"/>
    </row>
    <row r="130" spans="1:9" ht="15.5" x14ac:dyDescent="0.3">
      <c r="A130" s="285">
        <v>15</v>
      </c>
      <c r="B130" s="194" t="s">
        <v>23</v>
      </c>
      <c r="C130" s="290">
        <f>F99</f>
        <v>152.97058540778355</v>
      </c>
      <c r="D130" s="290"/>
      <c r="E130" s="290"/>
      <c r="F130" s="290">
        <f t="shared" si="6"/>
        <v>23400</v>
      </c>
      <c r="G130" s="290"/>
      <c r="H130" s="290"/>
    </row>
    <row r="131" spans="1:9" ht="15.5" x14ac:dyDescent="0.3">
      <c r="A131" s="285">
        <v>16</v>
      </c>
      <c r="B131" s="194" t="s">
        <v>24</v>
      </c>
      <c r="C131" s="290">
        <f>F100</f>
        <v>149.16433890176299</v>
      </c>
      <c r="D131" s="290"/>
      <c r="E131" s="290"/>
      <c r="F131" s="290">
        <f t="shared" si="6"/>
        <v>22250.000000000004</v>
      </c>
      <c r="G131" s="290"/>
      <c r="H131" s="290"/>
    </row>
    <row r="132" spans="1:9" ht="15.5" x14ac:dyDescent="0.3">
      <c r="A132" s="285">
        <v>17</v>
      </c>
      <c r="B132" s="194" t="s">
        <v>12</v>
      </c>
      <c r="C132" s="290">
        <f>C101</f>
        <v>0</v>
      </c>
      <c r="D132" s="290"/>
      <c r="E132" s="290"/>
      <c r="F132" s="290">
        <f t="shared" si="6"/>
        <v>0</v>
      </c>
      <c r="G132" s="290"/>
      <c r="H132" s="290"/>
    </row>
    <row r="133" spans="1:9" ht="15.5" x14ac:dyDescent="0.3">
      <c r="A133" s="285">
        <v>18</v>
      </c>
      <c r="B133" s="194" t="s">
        <v>16</v>
      </c>
      <c r="C133" s="290">
        <f>F102</f>
        <v>15.811388300841896</v>
      </c>
      <c r="D133" s="290"/>
      <c r="E133" s="290"/>
      <c r="F133" s="290">
        <f t="shared" si="6"/>
        <v>250</v>
      </c>
      <c r="G133" s="290"/>
      <c r="H133" s="290"/>
    </row>
    <row r="134" spans="1:9" ht="15.5" x14ac:dyDescent="0.3">
      <c r="A134" s="285">
        <v>19</v>
      </c>
      <c r="B134" s="194" t="s">
        <v>18</v>
      </c>
      <c r="C134" s="290">
        <f>F103</f>
        <v>0</v>
      </c>
      <c r="D134" s="290"/>
      <c r="E134" s="290"/>
      <c r="F134" s="290">
        <f t="shared" si="6"/>
        <v>0</v>
      </c>
      <c r="G134" s="290"/>
      <c r="H134" s="290"/>
    </row>
    <row r="135" spans="1:9" ht="15.5" x14ac:dyDescent="0.3">
      <c r="A135" s="285">
        <v>20</v>
      </c>
      <c r="B135" s="194" t="s">
        <v>21</v>
      </c>
      <c r="C135" s="290">
        <f>F104</f>
        <v>76.157731058639087</v>
      </c>
      <c r="D135" s="290"/>
      <c r="E135" s="290"/>
      <c r="F135" s="290">
        <f t="shared" si="6"/>
        <v>5800.0000000000009</v>
      </c>
      <c r="G135" s="290"/>
      <c r="H135" s="290"/>
    </row>
    <row r="136" spans="1:9" ht="15.5" x14ac:dyDescent="0.3">
      <c r="A136" s="10"/>
      <c r="B136" s="10"/>
      <c r="C136" s="10"/>
      <c r="D136" s="10"/>
      <c r="E136" s="10"/>
      <c r="F136" s="10" t="s">
        <v>43</v>
      </c>
      <c r="G136" s="10"/>
      <c r="H136" s="294">
        <f>SUM(F116:H135)</f>
        <v>227302</v>
      </c>
    </row>
    <row r="138" spans="1:9" ht="15.5" x14ac:dyDescent="0.3">
      <c r="A138" s="203" t="s">
        <v>44</v>
      </c>
      <c r="B138" s="203"/>
      <c r="C138" s="203"/>
      <c r="D138" s="203"/>
      <c r="E138" s="203"/>
      <c r="F138" s="203"/>
      <c r="G138" s="203"/>
      <c r="H138" s="202">
        <f>I111/H136</f>
        <v>2.1776084100913468E-4</v>
      </c>
    </row>
    <row r="140" spans="1:9" ht="15.5" x14ac:dyDescent="0.3">
      <c r="A140" s="9" t="s">
        <v>51</v>
      </c>
      <c r="B140" s="9"/>
      <c r="C140" s="9"/>
      <c r="D140" s="9"/>
      <c r="E140" s="9"/>
      <c r="F140" s="9"/>
      <c r="G140" s="9"/>
      <c r="H140" s="9"/>
      <c r="I140" s="9"/>
    </row>
    <row r="141" spans="1:9" ht="15.5" x14ac:dyDescent="0.3">
      <c r="A141" s="10" t="s">
        <v>49</v>
      </c>
      <c r="B141" s="10"/>
      <c r="C141" s="10"/>
      <c r="D141" s="10"/>
      <c r="E141" s="10"/>
      <c r="F141" s="10"/>
      <c r="G141" s="10"/>
      <c r="H141" s="10"/>
      <c r="I141" s="10"/>
    </row>
    <row r="142" spans="1:9" ht="15.5" x14ac:dyDescent="0.3">
      <c r="A142" s="11" t="s">
        <v>3</v>
      </c>
      <c r="B142" s="11" t="s">
        <v>4</v>
      </c>
      <c r="C142" s="12" t="s">
        <v>5</v>
      </c>
      <c r="D142" s="12"/>
      <c r="E142" s="12"/>
      <c r="F142" s="12" t="s">
        <v>6</v>
      </c>
      <c r="G142" s="12"/>
      <c r="H142" s="12"/>
      <c r="I142" s="11" t="s">
        <v>7</v>
      </c>
    </row>
    <row r="143" spans="1:9" ht="15.5" x14ac:dyDescent="0.3">
      <c r="A143" s="11"/>
      <c r="B143" s="11"/>
      <c r="C143" s="13" t="s">
        <v>8</v>
      </c>
      <c r="D143" s="13" t="s">
        <v>9</v>
      </c>
      <c r="E143" s="13" t="s">
        <v>10</v>
      </c>
      <c r="F143" s="13" t="s">
        <v>9</v>
      </c>
      <c r="G143" s="13" t="s">
        <v>8</v>
      </c>
      <c r="H143" s="13" t="s">
        <v>11</v>
      </c>
      <c r="I143" s="11"/>
    </row>
    <row r="144" spans="1:9" ht="15.5" x14ac:dyDescent="0.3">
      <c r="A144" s="287">
        <v>2</v>
      </c>
      <c r="B144" s="14" t="s">
        <v>16</v>
      </c>
      <c r="C144" s="284">
        <v>102</v>
      </c>
      <c r="D144" s="284">
        <v>100</v>
      </c>
      <c r="E144" s="14" t="s">
        <v>13</v>
      </c>
      <c r="F144" s="284">
        <v>102</v>
      </c>
      <c r="G144" s="284">
        <v>100</v>
      </c>
      <c r="H144" s="14" t="s">
        <v>13</v>
      </c>
      <c r="I144" s="14" t="s">
        <v>17</v>
      </c>
    </row>
    <row r="145" spans="1:9" ht="15.5" x14ac:dyDescent="0.3">
      <c r="A145" s="287">
        <v>12</v>
      </c>
      <c r="B145" s="14" t="s">
        <v>26</v>
      </c>
      <c r="C145" s="284">
        <v>120</v>
      </c>
      <c r="D145" s="284">
        <v>100</v>
      </c>
      <c r="E145" s="14" t="s">
        <v>13</v>
      </c>
      <c r="F145" s="284">
        <v>120</v>
      </c>
      <c r="G145" s="284">
        <v>100</v>
      </c>
      <c r="H145" s="14" t="s">
        <v>13</v>
      </c>
      <c r="I145" s="14" t="s">
        <v>17</v>
      </c>
    </row>
    <row r="146" spans="1:9" ht="15.5" x14ac:dyDescent="0.3">
      <c r="A146" s="287">
        <v>17</v>
      </c>
      <c r="B146" s="14" t="s">
        <v>12</v>
      </c>
      <c r="C146" s="284">
        <v>115</v>
      </c>
      <c r="D146" s="284">
        <v>100</v>
      </c>
      <c r="E146" s="14" t="s">
        <v>13</v>
      </c>
      <c r="F146" s="284">
        <v>115</v>
      </c>
      <c r="G146" s="284">
        <v>100</v>
      </c>
      <c r="H146" s="14" t="s">
        <v>13</v>
      </c>
      <c r="I146" s="14" t="s">
        <v>17</v>
      </c>
    </row>
    <row r="147" spans="1:9" ht="15.5" x14ac:dyDescent="0.3">
      <c r="A147" s="16" t="s">
        <v>45</v>
      </c>
      <c r="B147" s="16"/>
      <c r="C147" s="288">
        <f>SUM(C144:C146)/3</f>
        <v>112.33333333333333</v>
      </c>
      <c r="D147" s="288">
        <f t="shared" ref="D147:I147" si="7">SUM(D144:D146)/3</f>
        <v>100</v>
      </c>
      <c r="E147" s="17"/>
      <c r="F147" s="288">
        <f t="shared" si="7"/>
        <v>112.33333333333333</v>
      </c>
      <c r="G147" s="288">
        <f t="shared" si="7"/>
        <v>100</v>
      </c>
      <c r="H147" s="17"/>
      <c r="I147" s="17"/>
    </row>
    <row r="148" spans="1:9" ht="27" customHeight="1" x14ac:dyDescent="0.3">
      <c r="A148" s="18" t="s">
        <v>50</v>
      </c>
      <c r="B148" s="19"/>
      <c r="C148" s="19"/>
      <c r="D148" s="19"/>
      <c r="E148" s="19"/>
      <c r="F148" s="19"/>
      <c r="G148" s="19"/>
      <c r="H148" s="19"/>
      <c r="I148" s="20"/>
    </row>
    <row r="149" spans="1:9" ht="15.5" customHeight="1" x14ac:dyDescent="0.3">
      <c r="A149" s="21" t="s">
        <v>3</v>
      </c>
      <c r="B149" s="21" t="s">
        <v>4</v>
      </c>
      <c r="C149" s="21" t="s">
        <v>5</v>
      </c>
      <c r="D149" s="21"/>
      <c r="E149" s="21"/>
      <c r="F149" s="22" t="s">
        <v>6</v>
      </c>
      <c r="G149" s="23"/>
      <c r="H149" s="24"/>
      <c r="I149" s="21" t="s">
        <v>7</v>
      </c>
    </row>
    <row r="150" spans="1:9" ht="13" customHeight="1" x14ac:dyDescent="0.3">
      <c r="A150" s="21"/>
      <c r="B150" s="21"/>
      <c r="C150" s="21" t="s">
        <v>8</v>
      </c>
      <c r="D150" s="21" t="s">
        <v>9</v>
      </c>
      <c r="E150" s="21" t="s">
        <v>10</v>
      </c>
      <c r="F150" s="21" t="s">
        <v>9</v>
      </c>
      <c r="G150" s="21" t="s">
        <v>8</v>
      </c>
      <c r="H150" s="21" t="s">
        <v>11</v>
      </c>
      <c r="I150" s="21"/>
    </row>
    <row r="151" spans="1:9" ht="15.5" x14ac:dyDescent="0.3">
      <c r="A151" s="295" t="s">
        <v>53</v>
      </c>
      <c r="B151" s="14" t="s">
        <v>12</v>
      </c>
      <c r="C151" s="284">
        <v>48</v>
      </c>
      <c r="D151" s="284">
        <v>40</v>
      </c>
      <c r="E151" s="14" t="s">
        <v>13</v>
      </c>
      <c r="F151" s="284">
        <v>48</v>
      </c>
      <c r="G151" s="284">
        <v>40</v>
      </c>
      <c r="H151" s="14" t="s">
        <v>14</v>
      </c>
      <c r="I151" s="14" t="s">
        <v>15</v>
      </c>
    </row>
    <row r="152" spans="1:9" ht="15.5" x14ac:dyDescent="0.3">
      <c r="A152" s="296" t="s">
        <v>52</v>
      </c>
      <c r="B152" s="14" t="s">
        <v>18</v>
      </c>
      <c r="C152" s="284">
        <v>40</v>
      </c>
      <c r="D152" s="284">
        <v>80</v>
      </c>
      <c r="E152" s="14" t="s">
        <v>14</v>
      </c>
      <c r="F152" s="284">
        <v>40</v>
      </c>
      <c r="G152" s="284">
        <v>80</v>
      </c>
      <c r="H152" s="14" t="s">
        <v>14</v>
      </c>
      <c r="I152" s="14" t="s">
        <v>17</v>
      </c>
    </row>
    <row r="153" spans="1:9" ht="15.5" x14ac:dyDescent="0.3">
      <c r="A153" s="296" t="s">
        <v>56</v>
      </c>
      <c r="B153" s="14" t="s">
        <v>19</v>
      </c>
      <c r="C153" s="284">
        <v>25</v>
      </c>
      <c r="D153" s="284">
        <v>10</v>
      </c>
      <c r="E153" s="14" t="s">
        <v>20</v>
      </c>
      <c r="F153" s="284">
        <v>25</v>
      </c>
      <c r="G153" s="284">
        <v>10</v>
      </c>
      <c r="H153" s="14" t="s">
        <v>13</v>
      </c>
      <c r="I153" s="14" t="s">
        <v>17</v>
      </c>
    </row>
    <row r="154" spans="1:9" ht="15.5" x14ac:dyDescent="0.3">
      <c r="A154" s="296" t="s">
        <v>57</v>
      </c>
      <c r="B154" s="14" t="s">
        <v>21</v>
      </c>
      <c r="C154" s="284">
        <v>50</v>
      </c>
      <c r="D154" s="284">
        <v>25</v>
      </c>
      <c r="E154" s="14" t="s">
        <v>13</v>
      </c>
      <c r="F154" s="284">
        <v>50</v>
      </c>
      <c r="G154" s="284">
        <v>25</v>
      </c>
      <c r="H154" s="14" t="s">
        <v>13</v>
      </c>
      <c r="I154" s="14" t="s">
        <v>17</v>
      </c>
    </row>
    <row r="155" spans="1:9" ht="15.5" x14ac:dyDescent="0.3">
      <c r="A155" s="296" t="s">
        <v>54</v>
      </c>
      <c r="B155" s="14" t="s">
        <v>22</v>
      </c>
      <c r="C155" s="284">
        <v>10</v>
      </c>
      <c r="D155" s="284">
        <v>10</v>
      </c>
      <c r="E155" s="14" t="s">
        <v>13</v>
      </c>
      <c r="F155" s="284">
        <v>10</v>
      </c>
      <c r="G155" s="284">
        <v>10</v>
      </c>
      <c r="H155" s="14" t="s">
        <v>13</v>
      </c>
      <c r="I155" s="14" t="s">
        <v>17</v>
      </c>
    </row>
    <row r="156" spans="1:9" ht="15.5" x14ac:dyDescent="0.3">
      <c r="A156" s="296" t="s">
        <v>58</v>
      </c>
      <c r="B156" s="14" t="s">
        <v>23</v>
      </c>
      <c r="C156" s="284">
        <v>12</v>
      </c>
      <c r="D156" s="284">
        <v>10</v>
      </c>
      <c r="E156" s="14" t="s">
        <v>13</v>
      </c>
      <c r="F156" s="284">
        <v>12</v>
      </c>
      <c r="G156" s="284">
        <v>10</v>
      </c>
      <c r="H156" s="14" t="s">
        <v>13</v>
      </c>
      <c r="I156" s="14" t="s">
        <v>17</v>
      </c>
    </row>
    <row r="157" spans="1:9" ht="15.5" x14ac:dyDescent="0.3">
      <c r="A157" s="296" t="s">
        <v>55</v>
      </c>
      <c r="B157" s="14" t="s">
        <v>24</v>
      </c>
      <c r="C157" s="284">
        <v>15</v>
      </c>
      <c r="D157" s="284">
        <v>10</v>
      </c>
      <c r="E157" s="14" t="s">
        <v>13</v>
      </c>
      <c r="F157" s="284">
        <v>15</v>
      </c>
      <c r="G157" s="284">
        <v>10</v>
      </c>
      <c r="H157" s="14" t="s">
        <v>13</v>
      </c>
      <c r="I157" s="14" t="s">
        <v>17</v>
      </c>
    </row>
    <row r="158" spans="1:9" ht="15.5" x14ac:dyDescent="0.3">
      <c r="A158" s="296" t="s">
        <v>59</v>
      </c>
      <c r="B158" s="14" t="s">
        <v>12</v>
      </c>
      <c r="C158" s="284">
        <v>50</v>
      </c>
      <c r="D158" s="284">
        <v>50</v>
      </c>
      <c r="E158" s="14" t="s">
        <v>13</v>
      </c>
      <c r="F158" s="284">
        <v>50</v>
      </c>
      <c r="G158" s="284">
        <v>50</v>
      </c>
      <c r="H158" s="14" t="s">
        <v>13</v>
      </c>
      <c r="I158" s="14" t="s">
        <v>17</v>
      </c>
    </row>
    <row r="159" spans="1:9" ht="15.5" x14ac:dyDescent="0.3">
      <c r="A159" s="296" t="s">
        <v>60</v>
      </c>
      <c r="B159" s="14" t="s">
        <v>16</v>
      </c>
      <c r="C159" s="284">
        <v>80</v>
      </c>
      <c r="D159" s="284">
        <v>100</v>
      </c>
      <c r="E159" s="14" t="s">
        <v>14</v>
      </c>
      <c r="F159" s="284">
        <v>80</v>
      </c>
      <c r="G159" s="284">
        <v>100</v>
      </c>
      <c r="H159" s="14" t="s">
        <v>14</v>
      </c>
      <c r="I159" s="14" t="s">
        <v>17</v>
      </c>
    </row>
    <row r="160" spans="1:9" ht="31" x14ac:dyDescent="0.3">
      <c r="A160" s="296" t="s">
        <v>61</v>
      </c>
      <c r="B160" s="14" t="s">
        <v>18</v>
      </c>
      <c r="C160" s="284">
        <v>40</v>
      </c>
      <c r="D160" s="284">
        <v>50</v>
      </c>
      <c r="E160" s="14" t="s">
        <v>25</v>
      </c>
      <c r="F160" s="284">
        <v>40</v>
      </c>
      <c r="G160" s="284">
        <v>50</v>
      </c>
      <c r="H160" s="14" t="s">
        <v>14</v>
      </c>
      <c r="I160" s="14" t="s">
        <v>17</v>
      </c>
    </row>
    <row r="161" spans="1:9" ht="15.5" x14ac:dyDescent="0.3">
      <c r="A161" s="296" t="s">
        <v>63</v>
      </c>
      <c r="B161" s="14" t="s">
        <v>21</v>
      </c>
      <c r="C161" s="284">
        <v>50</v>
      </c>
      <c r="D161" s="284">
        <v>40</v>
      </c>
      <c r="E161" s="14" t="s">
        <v>13</v>
      </c>
      <c r="F161" s="284">
        <v>50</v>
      </c>
      <c r="G161" s="284">
        <v>40</v>
      </c>
      <c r="H161" s="14" t="s">
        <v>13</v>
      </c>
      <c r="I161" s="14" t="s">
        <v>17</v>
      </c>
    </row>
    <row r="162" spans="1:9" ht="15.5" x14ac:dyDescent="0.3">
      <c r="A162" s="296" t="s">
        <v>64</v>
      </c>
      <c r="B162" s="14" t="s">
        <v>22</v>
      </c>
      <c r="C162" s="284">
        <v>8</v>
      </c>
      <c r="D162" s="284">
        <v>10</v>
      </c>
      <c r="E162" s="14" t="s">
        <v>14</v>
      </c>
      <c r="F162" s="284">
        <v>8</v>
      </c>
      <c r="G162" s="284">
        <v>10</v>
      </c>
      <c r="H162" s="14" t="s">
        <v>14</v>
      </c>
      <c r="I162" s="14" t="s">
        <v>17</v>
      </c>
    </row>
    <row r="163" spans="1:9" ht="15.5" x14ac:dyDescent="0.3">
      <c r="A163" s="296" t="s">
        <v>65</v>
      </c>
      <c r="B163" s="14" t="s">
        <v>23</v>
      </c>
      <c r="C163" s="284">
        <v>20</v>
      </c>
      <c r="D163" s="284">
        <v>10</v>
      </c>
      <c r="E163" s="14" t="s">
        <v>13</v>
      </c>
      <c r="F163" s="284">
        <v>20</v>
      </c>
      <c r="G163" s="284">
        <v>10</v>
      </c>
      <c r="H163" s="14" t="s">
        <v>13</v>
      </c>
      <c r="I163" s="14" t="s">
        <v>17</v>
      </c>
    </row>
    <row r="164" spans="1:9" ht="15.5" x14ac:dyDescent="0.3">
      <c r="A164" s="296" t="s">
        <v>66</v>
      </c>
      <c r="B164" s="14" t="s">
        <v>24</v>
      </c>
      <c r="C164" s="284">
        <v>25</v>
      </c>
      <c r="D164" s="284">
        <v>10</v>
      </c>
      <c r="E164" s="14" t="s">
        <v>13</v>
      </c>
      <c r="F164" s="284">
        <v>25</v>
      </c>
      <c r="G164" s="284">
        <v>10</v>
      </c>
      <c r="H164" s="14" t="s">
        <v>13</v>
      </c>
      <c r="I164" s="14" t="s">
        <v>17</v>
      </c>
    </row>
    <row r="165" spans="1:9" ht="15.5" x14ac:dyDescent="0.3">
      <c r="A165" s="288">
        <v>18</v>
      </c>
      <c r="B165" s="14" t="s">
        <v>16</v>
      </c>
      <c r="C165" s="284">
        <v>85</v>
      </c>
      <c r="D165" s="284">
        <v>90</v>
      </c>
      <c r="E165" s="14" t="s">
        <v>14</v>
      </c>
      <c r="F165" s="284">
        <v>85</v>
      </c>
      <c r="G165" s="284">
        <v>90</v>
      </c>
      <c r="H165" s="14" t="s">
        <v>14</v>
      </c>
      <c r="I165" s="14" t="s">
        <v>17</v>
      </c>
    </row>
    <row r="166" spans="1:9" ht="15.5" x14ac:dyDescent="0.3">
      <c r="A166" s="288">
        <v>19</v>
      </c>
      <c r="B166" s="14" t="s">
        <v>18</v>
      </c>
      <c r="C166" s="284">
        <v>80</v>
      </c>
      <c r="D166" s="284">
        <v>100</v>
      </c>
      <c r="E166" s="14" t="s">
        <v>14</v>
      </c>
      <c r="F166" s="284">
        <v>80</v>
      </c>
      <c r="G166" s="284">
        <v>100</v>
      </c>
      <c r="H166" s="14" t="s">
        <v>27</v>
      </c>
      <c r="I166" s="14" t="s">
        <v>17</v>
      </c>
    </row>
    <row r="167" spans="1:9" ht="15.5" x14ac:dyDescent="0.3">
      <c r="A167" s="288">
        <v>20</v>
      </c>
      <c r="B167" s="14" t="s">
        <v>21</v>
      </c>
      <c r="C167" s="284">
        <v>60</v>
      </c>
      <c r="D167" s="284">
        <v>50</v>
      </c>
      <c r="E167" s="14" t="s">
        <v>13</v>
      </c>
      <c r="F167" s="284">
        <v>60</v>
      </c>
      <c r="G167" s="284">
        <v>50</v>
      </c>
      <c r="H167" s="14" t="s">
        <v>13</v>
      </c>
      <c r="I167" s="14" t="s">
        <v>17</v>
      </c>
    </row>
    <row r="168" spans="1:9" ht="15.5" x14ac:dyDescent="0.3">
      <c r="A168" s="6" t="s">
        <v>45</v>
      </c>
      <c r="B168" s="7"/>
      <c r="C168" s="287">
        <f>SUM(C151:C167)/3</f>
        <v>232.66666666666666</v>
      </c>
      <c r="D168" s="287">
        <f t="shared" ref="D168:G168" si="8">SUM(D151:D167)/3</f>
        <v>231.66666666666666</v>
      </c>
      <c r="E168" s="8"/>
      <c r="F168" s="287">
        <f t="shared" si="8"/>
        <v>232.66666666666666</v>
      </c>
      <c r="G168" s="287">
        <f t="shared" si="8"/>
        <v>231.66666666666666</v>
      </c>
      <c r="H168" s="8"/>
      <c r="I168" s="8"/>
    </row>
  </sheetData>
  <mergeCells count="157">
    <mergeCell ref="A168:B168"/>
    <mergeCell ref="A24:E24"/>
    <mergeCell ref="A25:E25"/>
    <mergeCell ref="A111:H111"/>
    <mergeCell ref="K33:K34"/>
    <mergeCell ref="A32:K32"/>
    <mergeCell ref="A57:K57"/>
    <mergeCell ref="K58:K59"/>
    <mergeCell ref="A141:I141"/>
    <mergeCell ref="A140:I140"/>
    <mergeCell ref="A148:I148"/>
    <mergeCell ref="F149:H149"/>
    <mergeCell ref="A147:B147"/>
    <mergeCell ref="A142:A143"/>
    <mergeCell ref="B142:B143"/>
    <mergeCell ref="C142:E142"/>
    <mergeCell ref="F142:H142"/>
    <mergeCell ref="I142:I143"/>
    <mergeCell ref="A136:E136"/>
    <mergeCell ref="F136:G136"/>
    <mergeCell ref="A138:G138"/>
    <mergeCell ref="F131:H131"/>
    <mergeCell ref="F132:H132"/>
    <mergeCell ref="F133:H133"/>
    <mergeCell ref="F134:H134"/>
    <mergeCell ref="F135:H135"/>
    <mergeCell ref="F126:H126"/>
    <mergeCell ref="F127:H127"/>
    <mergeCell ref="F128:H128"/>
    <mergeCell ref="F129:H129"/>
    <mergeCell ref="F130:H130"/>
    <mergeCell ref="F121:H121"/>
    <mergeCell ref="F122:H122"/>
    <mergeCell ref="F123:H123"/>
    <mergeCell ref="F124:H124"/>
    <mergeCell ref="F125:H125"/>
    <mergeCell ref="F116:H116"/>
    <mergeCell ref="F117:H117"/>
    <mergeCell ref="F118:H118"/>
    <mergeCell ref="F119:H119"/>
    <mergeCell ref="F120:H120"/>
    <mergeCell ref="C131:E131"/>
    <mergeCell ref="C132:E132"/>
    <mergeCell ref="C133:E133"/>
    <mergeCell ref="C134:E134"/>
    <mergeCell ref="C135:E135"/>
    <mergeCell ref="C126:E126"/>
    <mergeCell ref="C127:E127"/>
    <mergeCell ref="C128:E128"/>
    <mergeCell ref="C129:E129"/>
    <mergeCell ref="C130:E130"/>
    <mergeCell ref="C121:E121"/>
    <mergeCell ref="C122:E122"/>
    <mergeCell ref="C123:E123"/>
    <mergeCell ref="C124:E124"/>
    <mergeCell ref="C125:E125"/>
    <mergeCell ref="C116:E116"/>
    <mergeCell ref="C117:E117"/>
    <mergeCell ref="C118:E118"/>
    <mergeCell ref="C119:E119"/>
    <mergeCell ref="C120:E120"/>
    <mergeCell ref="A107:I107"/>
    <mergeCell ref="A114:A115"/>
    <mergeCell ref="B114:B115"/>
    <mergeCell ref="C114:E115"/>
    <mergeCell ref="F114:H114"/>
    <mergeCell ref="F115:H115"/>
    <mergeCell ref="A113:H113"/>
    <mergeCell ref="A27:I27"/>
    <mergeCell ref="A108:A109"/>
    <mergeCell ref="F108:G108"/>
    <mergeCell ref="D108:E108"/>
    <mergeCell ref="B108:C109"/>
    <mergeCell ref="H108:I109"/>
    <mergeCell ref="A1:A2"/>
    <mergeCell ref="B1:B2"/>
    <mergeCell ref="C1:E1"/>
    <mergeCell ref="F1:H1"/>
    <mergeCell ref="I1:I2"/>
    <mergeCell ref="J58:J59"/>
    <mergeCell ref="A33:A34"/>
    <mergeCell ref="B33:B34"/>
    <mergeCell ref="C33:E33"/>
    <mergeCell ref="F33:H33"/>
    <mergeCell ref="I33:I34"/>
    <mergeCell ref="J33:J34"/>
    <mergeCell ref="A58:A59"/>
    <mergeCell ref="B58:B59"/>
    <mergeCell ref="C58:E58"/>
    <mergeCell ref="F58:H58"/>
    <mergeCell ref="I58:I59"/>
    <mergeCell ref="A82:J82"/>
    <mergeCell ref="A83:A84"/>
    <mergeCell ref="B83:B84"/>
    <mergeCell ref="C83:E84"/>
    <mergeCell ref="F83:H84"/>
    <mergeCell ref="I83:J84"/>
    <mergeCell ref="C95:E95"/>
    <mergeCell ref="C96:E96"/>
    <mergeCell ref="C97:E97"/>
    <mergeCell ref="C98:E98"/>
    <mergeCell ref="C99:E99"/>
    <mergeCell ref="C90:E90"/>
    <mergeCell ref="C91:E91"/>
    <mergeCell ref="C92:E92"/>
    <mergeCell ref="C93:E93"/>
    <mergeCell ref="C94:E94"/>
    <mergeCell ref="C85:E85"/>
    <mergeCell ref="C86:E86"/>
    <mergeCell ref="C87:E87"/>
    <mergeCell ref="C88:E88"/>
    <mergeCell ref="C89:E89"/>
    <mergeCell ref="C100:E100"/>
    <mergeCell ref="C101:E101"/>
    <mergeCell ref="C102:E102"/>
    <mergeCell ref="C103:E103"/>
    <mergeCell ref="C104:E10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I95:J95"/>
    <mergeCell ref="I96:J96"/>
    <mergeCell ref="I97:J97"/>
    <mergeCell ref="I98:J98"/>
    <mergeCell ref="I99:J99"/>
    <mergeCell ref="I90:J90"/>
    <mergeCell ref="I91:J91"/>
    <mergeCell ref="I92:J92"/>
    <mergeCell ref="I93:J93"/>
    <mergeCell ref="I94:J94"/>
    <mergeCell ref="I85:J85"/>
    <mergeCell ref="I86:J86"/>
    <mergeCell ref="I87:J87"/>
    <mergeCell ref="I88:J88"/>
    <mergeCell ref="I89:J89"/>
    <mergeCell ref="I100:J100"/>
    <mergeCell ref="I101:J101"/>
    <mergeCell ref="I102:J102"/>
    <mergeCell ref="I103:J103"/>
    <mergeCell ref="I104:J104"/>
  </mergeCells>
  <phoneticPr fontId="3" type="noConversion"/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CC29-D19E-499A-AD61-5E4A822A42D1}">
  <dimension ref="A1:K163"/>
  <sheetViews>
    <sheetView topLeftCell="A73" workbookViewId="0">
      <selection activeCell="H108" sqref="H108"/>
    </sheetView>
  </sheetViews>
  <sheetFormatPr defaultRowHeight="13" x14ac:dyDescent="0.3"/>
  <cols>
    <col min="1" max="1" width="4.69921875" customWidth="1"/>
    <col min="2" max="11" width="15.69921875" customWidth="1"/>
  </cols>
  <sheetData>
    <row r="1" spans="1:9" ht="15.5" x14ac:dyDescent="0.3">
      <c r="A1" s="297" t="s">
        <v>3</v>
      </c>
      <c r="B1" s="298" t="s">
        <v>4</v>
      </c>
      <c r="C1" s="299" t="s">
        <v>5</v>
      </c>
      <c r="D1" s="300"/>
      <c r="E1" s="301"/>
      <c r="F1" s="302" t="s">
        <v>6</v>
      </c>
      <c r="G1" s="300"/>
      <c r="H1" s="303"/>
      <c r="I1" s="304" t="s">
        <v>7</v>
      </c>
    </row>
    <row r="2" spans="1:9" ht="15.5" x14ac:dyDescent="0.3">
      <c r="A2" s="305"/>
      <c r="B2" s="306"/>
      <c r="C2" s="307" t="s">
        <v>8</v>
      </c>
      <c r="D2" s="308" t="s">
        <v>9</v>
      </c>
      <c r="E2" s="309" t="s">
        <v>10</v>
      </c>
      <c r="F2" s="310" t="s">
        <v>9</v>
      </c>
      <c r="G2" s="311" t="s">
        <v>8</v>
      </c>
      <c r="H2" s="312" t="s">
        <v>11</v>
      </c>
      <c r="I2" s="313"/>
    </row>
    <row r="3" spans="1:9" ht="15.5" x14ac:dyDescent="0.3">
      <c r="A3" s="42">
        <v>1</v>
      </c>
      <c r="B3" s="43" t="s">
        <v>12</v>
      </c>
      <c r="C3" s="44">
        <v>48</v>
      </c>
      <c r="D3" s="45">
        <v>40</v>
      </c>
      <c r="E3" s="46" t="s">
        <v>13</v>
      </c>
      <c r="F3" s="47">
        <v>48</v>
      </c>
      <c r="G3" s="48">
        <v>40</v>
      </c>
      <c r="H3" s="49" t="s">
        <v>14</v>
      </c>
      <c r="I3" s="50" t="s">
        <v>15</v>
      </c>
    </row>
    <row r="4" spans="1:9" ht="16" customHeight="1" x14ac:dyDescent="0.3">
      <c r="A4" s="51">
        <v>2</v>
      </c>
      <c r="B4" s="52" t="s">
        <v>16</v>
      </c>
      <c r="C4" s="53">
        <v>102</v>
      </c>
      <c r="D4" s="54">
        <v>100</v>
      </c>
      <c r="E4" s="55" t="s">
        <v>13</v>
      </c>
      <c r="F4" s="56">
        <v>102</v>
      </c>
      <c r="G4" s="57">
        <v>100</v>
      </c>
      <c r="H4" s="58" t="s">
        <v>13</v>
      </c>
      <c r="I4" s="59" t="s">
        <v>17</v>
      </c>
    </row>
    <row r="5" spans="1:9" ht="16" customHeight="1" x14ac:dyDescent="0.3">
      <c r="A5" s="60">
        <v>3</v>
      </c>
      <c r="B5" s="61" t="s">
        <v>18</v>
      </c>
      <c r="C5" s="62">
        <v>40</v>
      </c>
      <c r="D5" s="63">
        <v>80</v>
      </c>
      <c r="E5" s="64" t="s">
        <v>14</v>
      </c>
      <c r="F5" s="65">
        <v>40</v>
      </c>
      <c r="G5" s="66">
        <v>80</v>
      </c>
      <c r="H5" s="67" t="s">
        <v>14</v>
      </c>
      <c r="I5" s="68" t="s">
        <v>17</v>
      </c>
    </row>
    <row r="6" spans="1:9" ht="16" customHeight="1" x14ac:dyDescent="0.3">
      <c r="A6" s="69">
        <v>4</v>
      </c>
      <c r="B6" s="70" t="s">
        <v>19</v>
      </c>
      <c r="C6" s="71">
        <v>25</v>
      </c>
      <c r="D6" s="72">
        <v>10</v>
      </c>
      <c r="E6" s="73" t="s">
        <v>20</v>
      </c>
      <c r="F6" s="74">
        <v>25</v>
      </c>
      <c r="G6" s="75">
        <v>10</v>
      </c>
      <c r="H6" s="76" t="s">
        <v>13</v>
      </c>
      <c r="I6" s="77" t="s">
        <v>17</v>
      </c>
    </row>
    <row r="7" spans="1:9" ht="15" customHeight="1" x14ac:dyDescent="0.3">
      <c r="A7" s="78">
        <v>5</v>
      </c>
      <c r="B7" s="79" t="s">
        <v>21</v>
      </c>
      <c r="C7" s="80">
        <v>50</v>
      </c>
      <c r="D7" s="81">
        <v>25</v>
      </c>
      <c r="E7" s="82" t="s">
        <v>13</v>
      </c>
      <c r="F7" s="83">
        <v>50</v>
      </c>
      <c r="G7" s="84">
        <v>25</v>
      </c>
      <c r="H7" s="85" t="s">
        <v>13</v>
      </c>
      <c r="I7" s="86" t="s">
        <v>17</v>
      </c>
    </row>
    <row r="8" spans="1:9" ht="15" customHeight="1" x14ac:dyDescent="0.3">
      <c r="A8" s="87">
        <v>6</v>
      </c>
      <c r="B8" s="88" t="s">
        <v>22</v>
      </c>
      <c r="C8" s="89">
        <v>10</v>
      </c>
      <c r="D8" s="90">
        <v>10</v>
      </c>
      <c r="E8" s="91" t="s">
        <v>13</v>
      </c>
      <c r="F8" s="92">
        <v>10</v>
      </c>
      <c r="G8" s="93">
        <v>10</v>
      </c>
      <c r="H8" s="94" t="s">
        <v>13</v>
      </c>
      <c r="I8" s="95" t="s">
        <v>17</v>
      </c>
    </row>
    <row r="9" spans="1:9" ht="15" customHeight="1" x14ac:dyDescent="0.3">
      <c r="A9" s="51">
        <v>7</v>
      </c>
      <c r="B9" s="52" t="s">
        <v>23</v>
      </c>
      <c r="C9" s="53">
        <v>12</v>
      </c>
      <c r="D9" s="54">
        <v>10</v>
      </c>
      <c r="E9" s="55" t="s">
        <v>13</v>
      </c>
      <c r="F9" s="56">
        <v>12</v>
      </c>
      <c r="G9" s="57">
        <v>10</v>
      </c>
      <c r="H9" s="58" t="s">
        <v>13</v>
      </c>
      <c r="I9" s="59" t="s">
        <v>17</v>
      </c>
    </row>
    <row r="10" spans="1:9" ht="15" customHeight="1" x14ac:dyDescent="0.3">
      <c r="A10" s="51">
        <v>8</v>
      </c>
      <c r="B10" s="52" t="s">
        <v>24</v>
      </c>
      <c r="C10" s="53">
        <v>15</v>
      </c>
      <c r="D10" s="54">
        <v>10</v>
      </c>
      <c r="E10" s="55" t="s">
        <v>13</v>
      </c>
      <c r="F10" s="56">
        <v>15</v>
      </c>
      <c r="G10" s="57">
        <v>10</v>
      </c>
      <c r="H10" s="58" t="s">
        <v>13</v>
      </c>
      <c r="I10" s="59" t="s">
        <v>17</v>
      </c>
    </row>
    <row r="11" spans="1:9" ht="15" customHeight="1" x14ac:dyDescent="0.3">
      <c r="A11" s="96">
        <v>9</v>
      </c>
      <c r="B11" s="97" t="s">
        <v>12</v>
      </c>
      <c r="C11" s="98">
        <v>50</v>
      </c>
      <c r="D11" s="99">
        <v>50</v>
      </c>
      <c r="E11" s="100" t="s">
        <v>13</v>
      </c>
      <c r="F11" s="101">
        <v>50</v>
      </c>
      <c r="G11" s="102">
        <v>50</v>
      </c>
      <c r="H11" s="103" t="s">
        <v>13</v>
      </c>
      <c r="I11" s="104" t="s">
        <v>17</v>
      </c>
    </row>
    <row r="12" spans="1:9" ht="15" customHeight="1" x14ac:dyDescent="0.3">
      <c r="A12" s="105">
        <v>10</v>
      </c>
      <c r="B12" s="106" t="s">
        <v>16</v>
      </c>
      <c r="C12" s="107">
        <v>80</v>
      </c>
      <c r="D12" s="108">
        <v>100</v>
      </c>
      <c r="E12" s="109" t="s">
        <v>14</v>
      </c>
      <c r="F12" s="110">
        <v>80</v>
      </c>
      <c r="G12" s="111">
        <v>100</v>
      </c>
      <c r="H12" s="112" t="s">
        <v>14</v>
      </c>
      <c r="I12" s="113" t="s">
        <v>17</v>
      </c>
    </row>
    <row r="13" spans="1:9" ht="15" customHeight="1" x14ac:dyDescent="0.3">
      <c r="A13" s="114">
        <v>11</v>
      </c>
      <c r="B13" s="115" t="s">
        <v>18</v>
      </c>
      <c r="C13" s="116">
        <v>40</v>
      </c>
      <c r="D13" s="117">
        <v>50</v>
      </c>
      <c r="E13" s="118" t="s">
        <v>25</v>
      </c>
      <c r="F13" s="119">
        <v>40</v>
      </c>
      <c r="G13" s="120">
        <v>50</v>
      </c>
      <c r="H13" s="121" t="s">
        <v>14</v>
      </c>
      <c r="I13" s="122" t="s">
        <v>17</v>
      </c>
    </row>
    <row r="14" spans="1:9" ht="15" customHeight="1" x14ac:dyDescent="0.3">
      <c r="A14" s="123">
        <v>12</v>
      </c>
      <c r="B14" s="124" t="s">
        <v>26</v>
      </c>
      <c r="C14" s="125">
        <v>120</v>
      </c>
      <c r="D14" s="126">
        <v>100</v>
      </c>
      <c r="E14" s="127" t="s">
        <v>13</v>
      </c>
      <c r="F14" s="128">
        <v>120</v>
      </c>
      <c r="G14" s="129">
        <v>100</v>
      </c>
      <c r="H14" s="130" t="s">
        <v>13</v>
      </c>
      <c r="I14" s="131" t="s">
        <v>17</v>
      </c>
    </row>
    <row r="15" spans="1:9" ht="15.5" customHeight="1" x14ac:dyDescent="0.3">
      <c r="A15" s="51">
        <v>13</v>
      </c>
      <c r="B15" s="52" t="s">
        <v>21</v>
      </c>
      <c r="C15" s="53">
        <v>50</v>
      </c>
      <c r="D15" s="54">
        <v>40</v>
      </c>
      <c r="E15" s="55" t="s">
        <v>13</v>
      </c>
      <c r="F15" s="56">
        <v>50</v>
      </c>
      <c r="G15" s="57">
        <v>40</v>
      </c>
      <c r="H15" s="58" t="s">
        <v>13</v>
      </c>
      <c r="I15" s="59" t="s">
        <v>17</v>
      </c>
    </row>
    <row r="16" spans="1:9" ht="15" customHeight="1" x14ac:dyDescent="0.3">
      <c r="A16" s="132">
        <v>14</v>
      </c>
      <c r="B16" s="133" t="s">
        <v>22</v>
      </c>
      <c r="C16" s="134">
        <v>8</v>
      </c>
      <c r="D16" s="135">
        <v>10</v>
      </c>
      <c r="E16" s="136" t="s">
        <v>14</v>
      </c>
      <c r="F16" s="137">
        <v>8</v>
      </c>
      <c r="G16" s="138">
        <v>10</v>
      </c>
      <c r="H16" s="139" t="s">
        <v>14</v>
      </c>
      <c r="I16" s="140" t="s">
        <v>17</v>
      </c>
    </row>
    <row r="17" spans="1:11" ht="15" customHeight="1" x14ac:dyDescent="0.3">
      <c r="A17" s="141">
        <v>15</v>
      </c>
      <c r="B17" s="142" t="s">
        <v>23</v>
      </c>
      <c r="C17" s="143">
        <v>20</v>
      </c>
      <c r="D17" s="144">
        <v>10</v>
      </c>
      <c r="E17" s="145" t="s">
        <v>13</v>
      </c>
      <c r="F17" s="146">
        <v>20</v>
      </c>
      <c r="G17" s="147">
        <v>10</v>
      </c>
      <c r="H17" s="148" t="s">
        <v>13</v>
      </c>
      <c r="I17" s="149" t="s">
        <v>17</v>
      </c>
    </row>
    <row r="18" spans="1:11" ht="15" customHeight="1" x14ac:dyDescent="0.3">
      <c r="A18" s="150">
        <v>16</v>
      </c>
      <c r="B18" s="151" t="s">
        <v>24</v>
      </c>
      <c r="C18" s="152">
        <v>25</v>
      </c>
      <c r="D18" s="153">
        <v>10</v>
      </c>
      <c r="E18" s="154" t="s">
        <v>13</v>
      </c>
      <c r="F18" s="155">
        <v>25</v>
      </c>
      <c r="G18" s="156">
        <v>10</v>
      </c>
      <c r="H18" s="157" t="s">
        <v>13</v>
      </c>
      <c r="I18" s="158" t="s">
        <v>17</v>
      </c>
    </row>
    <row r="19" spans="1:11" ht="15" customHeight="1" x14ac:dyDescent="0.3">
      <c r="A19" s="51">
        <v>17</v>
      </c>
      <c r="B19" s="52" t="s">
        <v>12</v>
      </c>
      <c r="C19" s="53">
        <v>115</v>
      </c>
      <c r="D19" s="54">
        <v>100</v>
      </c>
      <c r="E19" s="55" t="s">
        <v>13</v>
      </c>
      <c r="F19" s="56">
        <v>115</v>
      </c>
      <c r="G19" s="57">
        <v>100</v>
      </c>
      <c r="H19" s="58" t="s">
        <v>13</v>
      </c>
      <c r="I19" s="59" t="s">
        <v>17</v>
      </c>
    </row>
    <row r="20" spans="1:11" ht="15.5" customHeight="1" x14ac:dyDescent="0.3">
      <c r="A20" s="159">
        <v>18</v>
      </c>
      <c r="B20" s="160" t="s">
        <v>16</v>
      </c>
      <c r="C20" s="161">
        <v>85</v>
      </c>
      <c r="D20" s="162">
        <v>90</v>
      </c>
      <c r="E20" s="163" t="s">
        <v>14</v>
      </c>
      <c r="F20" s="164">
        <v>85</v>
      </c>
      <c r="G20" s="165">
        <v>90</v>
      </c>
      <c r="H20" s="166" t="s">
        <v>14</v>
      </c>
      <c r="I20" s="167" t="s">
        <v>17</v>
      </c>
    </row>
    <row r="21" spans="1:11" ht="15" customHeight="1" x14ac:dyDescent="0.3">
      <c r="A21" s="168">
        <v>19</v>
      </c>
      <c r="B21" s="169" t="s">
        <v>18</v>
      </c>
      <c r="C21" s="170">
        <v>80</v>
      </c>
      <c r="D21" s="171">
        <v>100</v>
      </c>
      <c r="E21" s="172" t="s">
        <v>14</v>
      </c>
      <c r="F21" s="173">
        <v>80</v>
      </c>
      <c r="G21" s="174">
        <v>100</v>
      </c>
      <c r="H21" s="175" t="s">
        <v>27</v>
      </c>
      <c r="I21" s="176" t="s">
        <v>17</v>
      </c>
    </row>
    <row r="22" spans="1:11" ht="15" customHeight="1" x14ac:dyDescent="0.3">
      <c r="A22" s="177">
        <v>20</v>
      </c>
      <c r="B22" s="178" t="s">
        <v>21</v>
      </c>
      <c r="C22" s="179">
        <v>60</v>
      </c>
      <c r="D22" s="180">
        <v>50</v>
      </c>
      <c r="E22" s="181" t="s">
        <v>13</v>
      </c>
      <c r="F22" s="182">
        <v>60</v>
      </c>
      <c r="G22" s="183">
        <v>50</v>
      </c>
      <c r="H22" s="184" t="s">
        <v>13</v>
      </c>
      <c r="I22" s="185" t="s">
        <v>17</v>
      </c>
    </row>
    <row r="25" spans="1:11" ht="15.5" x14ac:dyDescent="0.3">
      <c r="A25" s="315" t="s">
        <v>46</v>
      </c>
      <c r="B25" s="315"/>
      <c r="C25" s="315"/>
      <c r="D25" s="315"/>
      <c r="E25" s="315"/>
    </row>
    <row r="26" spans="1:11" ht="15.5" x14ac:dyDescent="0.3">
      <c r="A26" s="314" t="s">
        <v>36</v>
      </c>
      <c r="B26" s="316">
        <v>112.333</v>
      </c>
      <c r="C26" s="316">
        <v>100</v>
      </c>
      <c r="D26" s="316">
        <v>112.333</v>
      </c>
      <c r="E26" s="316">
        <v>100</v>
      </c>
    </row>
    <row r="27" spans="1:11" ht="15.5" x14ac:dyDescent="0.3">
      <c r="A27" s="314" t="s">
        <v>35</v>
      </c>
      <c r="B27" s="316">
        <v>232.667</v>
      </c>
      <c r="C27" s="316">
        <v>231.67</v>
      </c>
      <c r="D27" s="316">
        <v>232.667</v>
      </c>
      <c r="E27" s="316">
        <v>231.667</v>
      </c>
    </row>
    <row r="30" spans="1:11" ht="15.5" x14ac:dyDescent="0.3">
      <c r="A30" s="195" t="s">
        <v>29</v>
      </c>
      <c r="B30" s="195"/>
      <c r="C30" s="195"/>
      <c r="D30" s="195"/>
      <c r="E30" s="195"/>
      <c r="F30" s="195"/>
      <c r="G30" s="195"/>
      <c r="H30" s="195"/>
      <c r="I30" s="195"/>
      <c r="J30" s="195"/>
      <c r="K30" s="195"/>
    </row>
    <row r="31" spans="1:11" ht="15.5" x14ac:dyDescent="0.3">
      <c r="A31" s="11" t="s">
        <v>3</v>
      </c>
      <c r="B31" s="11" t="s">
        <v>4</v>
      </c>
      <c r="C31" s="12" t="s">
        <v>5</v>
      </c>
      <c r="D31" s="12"/>
      <c r="E31" s="12"/>
      <c r="F31" s="12" t="s">
        <v>47</v>
      </c>
      <c r="G31" s="12"/>
      <c r="H31" s="12"/>
      <c r="I31" s="11" t="s">
        <v>7</v>
      </c>
      <c r="J31" s="192" t="s">
        <v>30</v>
      </c>
      <c r="K31" s="192" t="s">
        <v>42</v>
      </c>
    </row>
    <row r="32" spans="1:11" ht="15.5" x14ac:dyDescent="0.3">
      <c r="A32" s="11"/>
      <c r="B32" s="11"/>
      <c r="C32" s="13" t="s">
        <v>8</v>
      </c>
      <c r="D32" s="13" t="s">
        <v>9</v>
      </c>
      <c r="E32" s="13" t="s">
        <v>10</v>
      </c>
      <c r="F32" s="13" t="s">
        <v>9</v>
      </c>
      <c r="G32" s="13" t="s">
        <v>8</v>
      </c>
      <c r="H32" s="13" t="s">
        <v>11</v>
      </c>
      <c r="I32" s="11"/>
      <c r="J32" s="192"/>
      <c r="K32" s="192"/>
    </row>
    <row r="33" spans="1:11" ht="15.5" x14ac:dyDescent="0.3">
      <c r="A33" s="284">
        <v>1</v>
      </c>
      <c r="B33" s="14" t="s">
        <v>12</v>
      </c>
      <c r="C33" s="317">
        <f>POWER(C3-C26,2)</f>
        <v>2704</v>
      </c>
      <c r="D33" s="317">
        <f>POWER(D3-C26,2)</f>
        <v>3600</v>
      </c>
      <c r="E33" s="14" t="s">
        <v>13</v>
      </c>
      <c r="F33" s="317">
        <f>POWER(F3-D26,2)</f>
        <v>4138.7348889999994</v>
      </c>
      <c r="G33" s="317">
        <f>POWER(G3-E26,2)</f>
        <v>3600</v>
      </c>
      <c r="H33" s="14" t="s">
        <v>14</v>
      </c>
      <c r="I33" s="14" t="s">
        <v>15</v>
      </c>
      <c r="J33" s="316">
        <f>SUM(C33+D33+F33+G33)</f>
        <v>14042.734888999999</v>
      </c>
      <c r="K33" s="316">
        <f>SQRT(J33)</f>
        <v>118.50204592748599</v>
      </c>
    </row>
    <row r="34" spans="1:11" ht="15.5" x14ac:dyDescent="0.3">
      <c r="A34" s="284">
        <v>2</v>
      </c>
      <c r="B34" s="14" t="s">
        <v>16</v>
      </c>
      <c r="C34" s="317">
        <f>POWER(C4-C26,2)</f>
        <v>4</v>
      </c>
      <c r="D34" s="317">
        <f>POWER(D4-C26,2)</f>
        <v>0</v>
      </c>
      <c r="E34" s="14" t="s">
        <v>13</v>
      </c>
      <c r="F34" s="317">
        <f>POWER(F4-D26,2)</f>
        <v>106.77088899999997</v>
      </c>
      <c r="G34" s="317">
        <f>POWER(G4-E26,2)</f>
        <v>0</v>
      </c>
      <c r="H34" s="14" t="s">
        <v>13</v>
      </c>
      <c r="I34" s="14" t="s">
        <v>17</v>
      </c>
      <c r="J34" s="316">
        <f t="shared" ref="J34:J52" si="0">SUM(C34+D34+F34+G34)</f>
        <v>110.77088899999997</v>
      </c>
      <c r="K34" s="316">
        <f t="shared" ref="K34:K52" si="1">SQRT(J34)</f>
        <v>10.524775009471698</v>
      </c>
    </row>
    <row r="35" spans="1:11" ht="15.5" x14ac:dyDescent="0.3">
      <c r="A35" s="284">
        <v>3</v>
      </c>
      <c r="B35" s="14" t="s">
        <v>18</v>
      </c>
      <c r="C35" s="317">
        <f>POWER(C5-C26,2)</f>
        <v>3600</v>
      </c>
      <c r="D35" s="317">
        <f>POWER(D5-C26,2)</f>
        <v>400</v>
      </c>
      <c r="E35" s="14" t="s">
        <v>14</v>
      </c>
      <c r="F35" s="317">
        <f>POWER(F5-D26,2)</f>
        <v>5232.0628889999998</v>
      </c>
      <c r="G35" s="317">
        <f>POWER(G5-E26,2)</f>
        <v>400</v>
      </c>
      <c r="H35" s="14" t="s">
        <v>14</v>
      </c>
      <c r="I35" s="14" t="s">
        <v>17</v>
      </c>
      <c r="J35" s="316">
        <f t="shared" si="0"/>
        <v>9632.0628890000007</v>
      </c>
      <c r="K35" s="316">
        <f t="shared" si="1"/>
        <v>98.143073566095339</v>
      </c>
    </row>
    <row r="36" spans="1:11" ht="15.5" x14ac:dyDescent="0.3">
      <c r="A36" s="284">
        <v>4</v>
      </c>
      <c r="B36" s="14" t="s">
        <v>19</v>
      </c>
      <c r="C36" s="317">
        <f>POWER(C6-C26,2)</f>
        <v>5625</v>
      </c>
      <c r="D36" s="317">
        <f>POWER(D6-C26,2)</f>
        <v>8100</v>
      </c>
      <c r="E36" s="14" t="s">
        <v>20</v>
      </c>
      <c r="F36" s="317">
        <f>POWER(F6-D26,2)</f>
        <v>7627.0528889999996</v>
      </c>
      <c r="G36" s="317">
        <f>POWER(G6-E26,2)</f>
        <v>8100</v>
      </c>
      <c r="H36" s="14" t="s">
        <v>13</v>
      </c>
      <c r="I36" s="14" t="s">
        <v>17</v>
      </c>
      <c r="J36" s="316">
        <f t="shared" si="0"/>
        <v>29452.052888999999</v>
      </c>
      <c r="K36" s="316">
        <f t="shared" si="1"/>
        <v>171.61600417501859</v>
      </c>
    </row>
    <row r="37" spans="1:11" ht="15.5" x14ac:dyDescent="0.3">
      <c r="A37" s="284">
        <v>5</v>
      </c>
      <c r="B37" s="14" t="s">
        <v>21</v>
      </c>
      <c r="C37" s="317">
        <f>POWER(C7-C26,2)</f>
        <v>2500</v>
      </c>
      <c r="D37" s="317">
        <f>POWER(D7-C26,2)</f>
        <v>5625</v>
      </c>
      <c r="E37" s="14" t="s">
        <v>13</v>
      </c>
      <c r="F37" s="317">
        <f>POWER(F7-D26,2)</f>
        <v>3885.402889</v>
      </c>
      <c r="G37" s="317">
        <f>POWER(G7-E26,2)</f>
        <v>5625</v>
      </c>
      <c r="H37" s="14" t="s">
        <v>13</v>
      </c>
      <c r="I37" s="14" t="s">
        <v>17</v>
      </c>
      <c r="J37" s="316">
        <f t="shared" si="0"/>
        <v>17635.402889000001</v>
      </c>
      <c r="K37" s="316">
        <f t="shared" si="1"/>
        <v>132.79835424055526</v>
      </c>
    </row>
    <row r="38" spans="1:11" ht="15.5" x14ac:dyDescent="0.3">
      <c r="A38" s="284">
        <v>6</v>
      </c>
      <c r="B38" s="14" t="s">
        <v>22</v>
      </c>
      <c r="C38" s="317">
        <f>POWER(C8-C26,2)</f>
        <v>8100</v>
      </c>
      <c r="D38" s="317">
        <f>POWER(D8-C26,2)</f>
        <v>8100</v>
      </c>
      <c r="E38" s="14" t="s">
        <v>13</v>
      </c>
      <c r="F38" s="317">
        <f>POWER(F8-D26,2)</f>
        <v>10472.042889</v>
      </c>
      <c r="G38" s="317">
        <f>POWER(G8-E26,2)</f>
        <v>8100</v>
      </c>
      <c r="H38" s="14" t="s">
        <v>13</v>
      </c>
      <c r="I38" s="14" t="s">
        <v>17</v>
      </c>
      <c r="J38" s="316">
        <f t="shared" si="0"/>
        <v>34772.042889000004</v>
      </c>
      <c r="K38" s="316">
        <f t="shared" si="1"/>
        <v>186.47263308324898</v>
      </c>
    </row>
    <row r="39" spans="1:11" ht="15.5" x14ac:dyDescent="0.3">
      <c r="A39" s="284">
        <v>7</v>
      </c>
      <c r="B39" s="14" t="s">
        <v>23</v>
      </c>
      <c r="C39" s="317">
        <f>POWER(C9-C26,2)</f>
        <v>7744</v>
      </c>
      <c r="D39" s="317">
        <f>POWER(D9-C26,2)</f>
        <v>8100</v>
      </c>
      <c r="E39" s="14" t="s">
        <v>13</v>
      </c>
      <c r="F39" s="317">
        <f>POWER(F9-D26,2)</f>
        <v>10066.710889</v>
      </c>
      <c r="G39" s="317">
        <f>POWER(G9-E26,2)</f>
        <v>8100</v>
      </c>
      <c r="H39" s="14" t="s">
        <v>13</v>
      </c>
      <c r="I39" s="14" t="s">
        <v>17</v>
      </c>
      <c r="J39" s="316">
        <f t="shared" si="0"/>
        <v>34010.710889000002</v>
      </c>
      <c r="K39" s="316">
        <f t="shared" si="1"/>
        <v>184.41993083449523</v>
      </c>
    </row>
    <row r="40" spans="1:11" ht="15.5" x14ac:dyDescent="0.3">
      <c r="A40" s="284">
        <v>8</v>
      </c>
      <c r="B40" s="14" t="s">
        <v>24</v>
      </c>
      <c r="C40" s="317">
        <f>POWER(C10-C26,2)</f>
        <v>7225</v>
      </c>
      <c r="D40" s="317">
        <f>POWER(D10-C26,2)</f>
        <v>8100</v>
      </c>
      <c r="E40" s="14" t="s">
        <v>13</v>
      </c>
      <c r="F40" s="317">
        <f>POWER(F10-D26,2)</f>
        <v>9473.7128890000004</v>
      </c>
      <c r="G40" s="317">
        <f>POWER(G10-E26,2)</f>
        <v>8100</v>
      </c>
      <c r="H40" s="14" t="s">
        <v>13</v>
      </c>
      <c r="I40" s="14" t="s">
        <v>17</v>
      </c>
      <c r="J40" s="316">
        <f t="shared" si="0"/>
        <v>32898.712889000002</v>
      </c>
      <c r="K40" s="316">
        <f t="shared" si="1"/>
        <v>181.38002340114525</v>
      </c>
    </row>
    <row r="41" spans="1:11" ht="15.5" x14ac:dyDescent="0.3">
      <c r="A41" s="284">
        <v>9</v>
      </c>
      <c r="B41" s="14" t="s">
        <v>12</v>
      </c>
      <c r="C41" s="317">
        <f>POWER(C11-C26,2)</f>
        <v>2500</v>
      </c>
      <c r="D41" s="317">
        <f>POWER(D11-C26,2)</f>
        <v>2500</v>
      </c>
      <c r="E41" s="14" t="s">
        <v>13</v>
      </c>
      <c r="F41" s="317">
        <f>POWER(F11-D26,2)</f>
        <v>3885.402889</v>
      </c>
      <c r="G41" s="317">
        <f>POWER(G11-E26,2)</f>
        <v>2500</v>
      </c>
      <c r="H41" s="14" t="s">
        <v>13</v>
      </c>
      <c r="I41" s="14" t="s">
        <v>17</v>
      </c>
      <c r="J41" s="316">
        <f t="shared" si="0"/>
        <v>11385.402889000001</v>
      </c>
      <c r="K41" s="316">
        <f t="shared" si="1"/>
        <v>106.70240338905212</v>
      </c>
    </row>
    <row r="42" spans="1:11" ht="15.5" x14ac:dyDescent="0.3">
      <c r="A42" s="284">
        <v>10</v>
      </c>
      <c r="B42" s="14" t="s">
        <v>16</v>
      </c>
      <c r="C42" s="317">
        <f>POWER(C12-C26,2)</f>
        <v>400</v>
      </c>
      <c r="D42" s="317">
        <f>POWER(D12-C26,2)</f>
        <v>0</v>
      </c>
      <c r="E42" s="14" t="s">
        <v>14</v>
      </c>
      <c r="F42" s="317">
        <f>POWER(F12-D26,2)</f>
        <v>1045.4228889999999</v>
      </c>
      <c r="G42" s="317">
        <f>POWER(G12-E26,2)</f>
        <v>0</v>
      </c>
      <c r="H42" s="14" t="s">
        <v>14</v>
      </c>
      <c r="I42" s="14" t="s">
        <v>17</v>
      </c>
      <c r="J42" s="316">
        <f t="shared" si="0"/>
        <v>1445.4228889999999</v>
      </c>
      <c r="K42" s="316">
        <f t="shared" si="1"/>
        <v>38.018717613828059</v>
      </c>
    </row>
    <row r="43" spans="1:11" ht="31" x14ac:dyDescent="0.3">
      <c r="A43" s="284">
        <v>11</v>
      </c>
      <c r="B43" s="14" t="s">
        <v>18</v>
      </c>
      <c r="C43" s="317">
        <f>POWER(C13-C26,2)</f>
        <v>3600</v>
      </c>
      <c r="D43" s="317">
        <f>POWER(D13-C26,2)</f>
        <v>2500</v>
      </c>
      <c r="E43" s="14" t="s">
        <v>25</v>
      </c>
      <c r="F43" s="317">
        <f>POWER(F13-D26,2)</f>
        <v>5232.0628889999998</v>
      </c>
      <c r="G43" s="317">
        <f>POWER(G13-E26,2)</f>
        <v>2500</v>
      </c>
      <c r="H43" s="14" t="s">
        <v>14</v>
      </c>
      <c r="I43" s="14" t="s">
        <v>17</v>
      </c>
      <c r="J43" s="316">
        <f t="shared" si="0"/>
        <v>13832.062889000001</v>
      </c>
      <c r="K43" s="316">
        <f t="shared" si="1"/>
        <v>117.60979078716194</v>
      </c>
    </row>
    <row r="44" spans="1:11" ht="15.5" x14ac:dyDescent="0.3">
      <c r="A44" s="284">
        <v>12</v>
      </c>
      <c r="B44" s="14" t="s">
        <v>26</v>
      </c>
      <c r="C44" s="317">
        <f>POWER(C14-C26,2)</f>
        <v>400</v>
      </c>
      <c r="D44" s="317">
        <f>POWER(D14-C26,2)</f>
        <v>0</v>
      </c>
      <c r="E44" s="14" t="s">
        <v>13</v>
      </c>
      <c r="F44" s="317">
        <f>POWER(F14-D26,2)</f>
        <v>58.782889000000026</v>
      </c>
      <c r="G44" s="317">
        <f>POWER(G14-E26,2)</f>
        <v>0</v>
      </c>
      <c r="H44" s="14" t="s">
        <v>13</v>
      </c>
      <c r="I44" s="14" t="s">
        <v>17</v>
      </c>
      <c r="J44" s="316">
        <f t="shared" si="0"/>
        <v>458.78288900000001</v>
      </c>
      <c r="K44" s="316">
        <f t="shared" si="1"/>
        <v>21.419217749488425</v>
      </c>
    </row>
    <row r="45" spans="1:11" ht="15.5" x14ac:dyDescent="0.3">
      <c r="A45" s="284">
        <v>13</v>
      </c>
      <c r="B45" s="14" t="s">
        <v>21</v>
      </c>
      <c r="C45" s="317">
        <f>POWER(C15-C26,2)</f>
        <v>2500</v>
      </c>
      <c r="D45" s="317">
        <f>POWER(D15-C26,2)</f>
        <v>3600</v>
      </c>
      <c r="E45" s="14" t="s">
        <v>13</v>
      </c>
      <c r="F45" s="317">
        <f>POWER(F15-D26,2)</f>
        <v>3885.402889</v>
      </c>
      <c r="G45" s="317">
        <f>POWER(G15-E26,2)</f>
        <v>3600</v>
      </c>
      <c r="H45" s="14" t="s">
        <v>13</v>
      </c>
      <c r="I45" s="14" t="s">
        <v>17</v>
      </c>
      <c r="J45" s="316">
        <f t="shared" si="0"/>
        <v>13585.402889000001</v>
      </c>
      <c r="K45" s="316">
        <f t="shared" si="1"/>
        <v>116.55643649751823</v>
      </c>
    </row>
    <row r="46" spans="1:11" ht="15.5" x14ac:dyDescent="0.3">
      <c r="A46" s="284">
        <v>14</v>
      </c>
      <c r="B46" s="14" t="s">
        <v>22</v>
      </c>
      <c r="C46" s="317">
        <f>POWER(C16-C26,2)</f>
        <v>8464</v>
      </c>
      <c r="D46" s="317">
        <f>POWER(D16-C26,2)</f>
        <v>8100</v>
      </c>
      <c r="E46" s="14" t="s">
        <v>14</v>
      </c>
      <c r="F46" s="317">
        <f>POWER(F16-D26,2)</f>
        <v>10885.374888999999</v>
      </c>
      <c r="G46" s="317">
        <f>POWER(G16-E26,2)</f>
        <v>8100</v>
      </c>
      <c r="H46" s="14" t="s">
        <v>14</v>
      </c>
      <c r="I46" s="14" t="s">
        <v>17</v>
      </c>
      <c r="J46" s="316">
        <f t="shared" si="0"/>
        <v>35549.374888999999</v>
      </c>
      <c r="K46" s="316">
        <f t="shared" si="1"/>
        <v>188.54541863699578</v>
      </c>
    </row>
    <row r="47" spans="1:11" ht="15.5" x14ac:dyDescent="0.3">
      <c r="A47" s="284">
        <v>15</v>
      </c>
      <c r="B47" s="14" t="s">
        <v>23</v>
      </c>
      <c r="C47" s="317">
        <f>POWER(C17-C26,2)</f>
        <v>6400</v>
      </c>
      <c r="D47" s="317">
        <f>POWER(D17-C26,2)</f>
        <v>8100</v>
      </c>
      <c r="E47" s="14" t="s">
        <v>13</v>
      </c>
      <c r="F47" s="317">
        <f>POWER(F17-D26,2)</f>
        <v>8525.3828890000004</v>
      </c>
      <c r="G47" s="317">
        <f>POWER(G17-E26,2)</f>
        <v>8100</v>
      </c>
      <c r="H47" s="14" t="s">
        <v>13</v>
      </c>
      <c r="I47" s="14" t="s">
        <v>17</v>
      </c>
      <c r="J47" s="316">
        <f t="shared" si="0"/>
        <v>31125.382889</v>
      </c>
      <c r="K47" s="316">
        <f t="shared" si="1"/>
        <v>176.42387278653646</v>
      </c>
    </row>
    <row r="48" spans="1:11" ht="15.5" x14ac:dyDescent="0.3">
      <c r="A48" s="284">
        <v>16</v>
      </c>
      <c r="B48" s="14" t="s">
        <v>24</v>
      </c>
      <c r="C48" s="317">
        <f>POWER(C18-C26,2)</f>
        <v>5625</v>
      </c>
      <c r="D48" s="317">
        <f>POWER(D18-C26,2)</f>
        <v>8100</v>
      </c>
      <c r="E48" s="14" t="s">
        <v>13</v>
      </c>
      <c r="F48" s="317">
        <f>POWER(F18-D26,2)</f>
        <v>7627.0528889999996</v>
      </c>
      <c r="G48" s="317">
        <f>POWER(G18-E26,2)</f>
        <v>8100</v>
      </c>
      <c r="H48" s="14" t="s">
        <v>13</v>
      </c>
      <c r="I48" s="14" t="s">
        <v>17</v>
      </c>
      <c r="J48" s="316">
        <f t="shared" si="0"/>
        <v>29452.052888999999</v>
      </c>
      <c r="K48" s="316">
        <f t="shared" si="1"/>
        <v>171.61600417501859</v>
      </c>
    </row>
    <row r="49" spans="1:11" ht="15.5" x14ac:dyDescent="0.3">
      <c r="A49" s="284">
        <v>17</v>
      </c>
      <c r="B49" s="14" t="s">
        <v>12</v>
      </c>
      <c r="C49" s="317">
        <f>POWER(C19-C26,2)</f>
        <v>225</v>
      </c>
      <c r="D49" s="317">
        <f>POWER(D19-C26,2)</f>
        <v>0</v>
      </c>
      <c r="E49" s="14" t="s">
        <v>13</v>
      </c>
      <c r="F49" s="317">
        <f>POWER(F19-D26,2)</f>
        <v>7.1128890000000089</v>
      </c>
      <c r="G49" s="317">
        <f>POWER(G19-E26,2)</f>
        <v>0</v>
      </c>
      <c r="H49" s="14" t="s">
        <v>13</v>
      </c>
      <c r="I49" s="14" t="s">
        <v>17</v>
      </c>
      <c r="J49" s="316">
        <f t="shared" si="0"/>
        <v>232.112889</v>
      </c>
      <c r="K49" s="316">
        <f t="shared" si="1"/>
        <v>15.235251524014954</v>
      </c>
    </row>
    <row r="50" spans="1:11" ht="15.5" x14ac:dyDescent="0.3">
      <c r="A50" s="284">
        <v>18</v>
      </c>
      <c r="B50" s="14" t="s">
        <v>16</v>
      </c>
      <c r="C50" s="317">
        <f>POWER(C20-C26,2)</f>
        <v>225</v>
      </c>
      <c r="D50" s="317">
        <f>POWER(D20-C26,2)</f>
        <v>100</v>
      </c>
      <c r="E50" s="14" t="s">
        <v>14</v>
      </c>
      <c r="F50" s="317">
        <f>POWER(F20-D26,2)</f>
        <v>747.0928889999999</v>
      </c>
      <c r="G50" s="317">
        <f>POWER(G20-E26,2)</f>
        <v>100</v>
      </c>
      <c r="H50" s="14" t="s">
        <v>14</v>
      </c>
      <c r="I50" s="14" t="s">
        <v>17</v>
      </c>
      <c r="J50" s="316">
        <f t="shared" si="0"/>
        <v>1172.092889</v>
      </c>
      <c r="K50" s="316">
        <f t="shared" si="1"/>
        <v>34.235842168697999</v>
      </c>
    </row>
    <row r="51" spans="1:11" ht="15.5" x14ac:dyDescent="0.3">
      <c r="A51" s="284">
        <v>19</v>
      </c>
      <c r="B51" s="14" t="s">
        <v>18</v>
      </c>
      <c r="C51" s="317">
        <f>POWER(C21-C26,2)</f>
        <v>400</v>
      </c>
      <c r="D51" s="317">
        <f>POWER(D21-C26,2)</f>
        <v>0</v>
      </c>
      <c r="E51" s="14" t="s">
        <v>14</v>
      </c>
      <c r="F51" s="317">
        <f>POWER(F21-D26,2)</f>
        <v>1045.4228889999999</v>
      </c>
      <c r="G51" s="317">
        <f>POWER(G21-E26,2)</f>
        <v>0</v>
      </c>
      <c r="H51" s="14" t="s">
        <v>27</v>
      </c>
      <c r="I51" s="14" t="s">
        <v>17</v>
      </c>
      <c r="J51" s="316">
        <f t="shared" si="0"/>
        <v>1445.4228889999999</v>
      </c>
      <c r="K51" s="316">
        <f t="shared" si="1"/>
        <v>38.018717613828059</v>
      </c>
    </row>
    <row r="52" spans="1:11" ht="15.5" x14ac:dyDescent="0.3">
      <c r="A52" s="284">
        <v>20</v>
      </c>
      <c r="B52" s="14" t="s">
        <v>21</v>
      </c>
      <c r="C52" s="317">
        <f>POWER(C22-C26,2)</f>
        <v>1600</v>
      </c>
      <c r="D52" s="317">
        <f>POWER(D22-C26,2)</f>
        <v>2500</v>
      </c>
      <c r="E52" s="14" t="s">
        <v>13</v>
      </c>
      <c r="F52" s="317">
        <f>POWER(F22-D26,2)</f>
        <v>2738.7428889999996</v>
      </c>
      <c r="G52" s="317">
        <f>POWER(G22-E26,2)</f>
        <v>2500</v>
      </c>
      <c r="H52" s="14" t="s">
        <v>13</v>
      </c>
      <c r="I52" s="14" t="s">
        <v>17</v>
      </c>
      <c r="J52" s="316">
        <f t="shared" si="0"/>
        <v>9338.7428889999992</v>
      </c>
      <c r="K52" s="316">
        <f t="shared" si="1"/>
        <v>96.637171362783576</v>
      </c>
    </row>
    <row r="55" spans="1:11" ht="15.5" x14ac:dyDescent="0.3">
      <c r="A55" s="195" t="s">
        <v>48</v>
      </c>
      <c r="B55" s="195"/>
      <c r="C55" s="195"/>
      <c r="D55" s="195"/>
      <c r="E55" s="195"/>
      <c r="F55" s="195"/>
      <c r="G55" s="195"/>
      <c r="H55" s="195"/>
      <c r="I55" s="195"/>
      <c r="J55" s="195"/>
      <c r="K55" s="195"/>
    </row>
    <row r="56" spans="1:11" ht="15.5" x14ac:dyDescent="0.3">
      <c r="A56" s="11" t="s">
        <v>3</v>
      </c>
      <c r="B56" s="11" t="s">
        <v>4</v>
      </c>
      <c r="C56" s="11" t="s">
        <v>5</v>
      </c>
      <c r="D56" s="11"/>
      <c r="E56" s="11"/>
      <c r="F56" s="11" t="s">
        <v>47</v>
      </c>
      <c r="G56" s="11"/>
      <c r="H56" s="11"/>
      <c r="I56" s="11" t="s">
        <v>7</v>
      </c>
      <c r="J56" s="289" t="s">
        <v>30</v>
      </c>
      <c r="K56" s="289" t="s">
        <v>42</v>
      </c>
    </row>
    <row r="57" spans="1:11" ht="15.5" x14ac:dyDescent="0.3">
      <c r="A57" s="11"/>
      <c r="B57" s="11"/>
      <c r="C57" s="21" t="s">
        <v>8</v>
      </c>
      <c r="D57" s="21" t="s">
        <v>9</v>
      </c>
      <c r="E57" s="21" t="s">
        <v>10</v>
      </c>
      <c r="F57" s="21" t="s">
        <v>9</v>
      </c>
      <c r="G57" s="21" t="s">
        <v>8</v>
      </c>
      <c r="H57" s="21" t="s">
        <v>11</v>
      </c>
      <c r="I57" s="11"/>
      <c r="J57" s="289"/>
      <c r="K57" s="289"/>
    </row>
    <row r="58" spans="1:11" ht="15.5" x14ac:dyDescent="0.3">
      <c r="A58" s="284">
        <v>1</v>
      </c>
      <c r="B58" s="14" t="s">
        <v>12</v>
      </c>
      <c r="C58" s="316">
        <f>POWER(C3-B27,2)</f>
        <v>34101.900889000004</v>
      </c>
      <c r="D58" s="316">
        <f>POWER(D3-C27,2)</f>
        <v>36737.388899999998</v>
      </c>
      <c r="E58" s="14" t="s">
        <v>13</v>
      </c>
      <c r="F58" s="316">
        <f>POWER(F3-D27,2)</f>
        <v>34101.900889000004</v>
      </c>
      <c r="G58" s="316">
        <f>POWER(G3-E27,2)</f>
        <v>36736.238889</v>
      </c>
      <c r="H58" s="14" t="s">
        <v>14</v>
      </c>
      <c r="I58" s="14" t="s">
        <v>15</v>
      </c>
      <c r="J58" s="316">
        <f>SUM(C58+D58+F58+G58)</f>
        <v>141677.42956700001</v>
      </c>
      <c r="K58" s="316">
        <f>SQRT(J58)</f>
        <v>376.40062376011019</v>
      </c>
    </row>
    <row r="59" spans="1:11" ht="15.5" x14ac:dyDescent="0.3">
      <c r="A59" s="284">
        <v>2</v>
      </c>
      <c r="B59" s="14" t="s">
        <v>16</v>
      </c>
      <c r="C59" s="316">
        <f>POWER(C4-B27,2)</f>
        <v>17073.864889</v>
      </c>
      <c r="D59" s="316">
        <f>POWER(D4-C27,2)</f>
        <v>17336.988899999997</v>
      </c>
      <c r="E59" s="14" t="s">
        <v>13</v>
      </c>
      <c r="F59" s="316">
        <f>POWER(F4-D27,2)</f>
        <v>17073.864889</v>
      </c>
      <c r="G59" s="316">
        <f>POWER(G4-E27,2)</f>
        <v>17336.198888999999</v>
      </c>
      <c r="H59" s="14" t="s">
        <v>13</v>
      </c>
      <c r="I59" s="14" t="s">
        <v>17</v>
      </c>
      <c r="J59" s="316">
        <f t="shared" ref="J59:J77" si="2">SUM(C59+D59+F59+G59)</f>
        <v>68820.917566999997</v>
      </c>
      <c r="K59" s="316">
        <f t="shared" ref="K59:K77" si="3">SQRT(J59)</f>
        <v>262.33741168007282</v>
      </c>
    </row>
    <row r="60" spans="1:11" ht="15.5" x14ac:dyDescent="0.3">
      <c r="A60" s="284">
        <v>3</v>
      </c>
      <c r="B60" s="14" t="s">
        <v>18</v>
      </c>
      <c r="C60" s="316">
        <f>POWER(C5-B27,2)</f>
        <v>37120.572889000003</v>
      </c>
      <c r="D60" s="316">
        <f>POWER(D5-C27,2)</f>
        <v>23003.788899999996</v>
      </c>
      <c r="E60" s="14" t="s">
        <v>14</v>
      </c>
      <c r="F60" s="316">
        <f>POWER(F5-D27,2)</f>
        <v>37120.572889000003</v>
      </c>
      <c r="G60" s="316">
        <f>POWER(G5-E27,2)</f>
        <v>23002.878889</v>
      </c>
      <c r="H60" s="14" t="s">
        <v>14</v>
      </c>
      <c r="I60" s="14" t="s">
        <v>17</v>
      </c>
      <c r="J60" s="316">
        <f t="shared" si="2"/>
        <v>120247.813567</v>
      </c>
      <c r="K60" s="316">
        <f t="shared" si="3"/>
        <v>346.76766511167102</v>
      </c>
    </row>
    <row r="61" spans="1:11" ht="15.5" x14ac:dyDescent="0.3">
      <c r="A61" s="284">
        <v>4</v>
      </c>
      <c r="B61" s="14" t="s">
        <v>19</v>
      </c>
      <c r="C61" s="316">
        <f>POWER(C6-B27,2)</f>
        <v>43125.582888999998</v>
      </c>
      <c r="D61" s="316">
        <f>POWER(D6-C27,2)</f>
        <v>49137.588899999995</v>
      </c>
      <c r="E61" s="14" t="s">
        <v>20</v>
      </c>
      <c r="F61" s="316">
        <f>POWER(F6-D27,2)</f>
        <v>43125.582888999998</v>
      </c>
      <c r="G61" s="316">
        <f>POWER(G6-E27,2)</f>
        <v>49136.258889000004</v>
      </c>
      <c r="H61" s="14" t="s">
        <v>13</v>
      </c>
      <c r="I61" s="14" t="s">
        <v>17</v>
      </c>
      <c r="J61" s="316">
        <f t="shared" si="2"/>
        <v>184525.01356699999</v>
      </c>
      <c r="K61" s="316">
        <f t="shared" si="3"/>
        <v>429.5637479664689</v>
      </c>
    </row>
    <row r="62" spans="1:11" ht="15.5" x14ac:dyDescent="0.3">
      <c r="A62" s="284">
        <v>5</v>
      </c>
      <c r="B62" s="14" t="s">
        <v>21</v>
      </c>
      <c r="C62" s="316">
        <f>POWER(C7-B27,2)</f>
        <v>33367.232888999999</v>
      </c>
      <c r="D62" s="316">
        <f>POWER(D7-C27,2)</f>
        <v>42712.488899999997</v>
      </c>
      <c r="E62" s="14" t="s">
        <v>13</v>
      </c>
      <c r="F62" s="316">
        <f>POWER(F7-D27,2)</f>
        <v>33367.232888999999</v>
      </c>
      <c r="G62" s="316">
        <f>POWER(G7-E27,2)</f>
        <v>42711.248889000002</v>
      </c>
      <c r="H62" s="14" t="s">
        <v>13</v>
      </c>
      <c r="I62" s="14" t="s">
        <v>17</v>
      </c>
      <c r="J62" s="316">
        <f t="shared" si="2"/>
        <v>152158.20356700002</v>
      </c>
      <c r="K62" s="316">
        <f t="shared" si="3"/>
        <v>390.0746128204193</v>
      </c>
    </row>
    <row r="63" spans="1:11" ht="15.5" x14ac:dyDescent="0.3">
      <c r="A63" s="284">
        <v>6</v>
      </c>
      <c r="B63" s="14" t="s">
        <v>22</v>
      </c>
      <c r="C63" s="316">
        <f>POWER(C8-B27,2)</f>
        <v>49580.592889</v>
      </c>
      <c r="D63" s="316">
        <f>POWER(D8-C27,2)</f>
        <v>49137.588899999995</v>
      </c>
      <c r="E63" s="14" t="s">
        <v>13</v>
      </c>
      <c r="F63" s="316">
        <f>POWER(F8-D27,2)</f>
        <v>49580.592889</v>
      </c>
      <c r="G63" s="316">
        <f>POWER(G8-E27,2)</f>
        <v>49136.258889000004</v>
      </c>
      <c r="H63" s="14" t="s">
        <v>13</v>
      </c>
      <c r="I63" s="14" t="s">
        <v>17</v>
      </c>
      <c r="J63" s="316">
        <f t="shared" si="2"/>
        <v>197435.03356700001</v>
      </c>
      <c r="K63" s="316">
        <f t="shared" si="3"/>
        <v>444.33662190618503</v>
      </c>
    </row>
    <row r="64" spans="1:11" ht="15.5" x14ac:dyDescent="0.3">
      <c r="A64" s="284">
        <v>7</v>
      </c>
      <c r="B64" s="14" t="s">
        <v>23</v>
      </c>
      <c r="C64" s="316">
        <f>POWER(C9-B27,2)</f>
        <v>48693.924889000002</v>
      </c>
      <c r="D64" s="316">
        <f>POWER(D9-C27,2)</f>
        <v>49137.588899999995</v>
      </c>
      <c r="E64" s="14" t="s">
        <v>13</v>
      </c>
      <c r="F64" s="316">
        <f>POWER(F9-D27,2)</f>
        <v>48693.924889000002</v>
      </c>
      <c r="G64" s="316">
        <f>POWER(G9-E27,2)</f>
        <v>49136.258889000004</v>
      </c>
      <c r="H64" s="14" t="s">
        <v>13</v>
      </c>
      <c r="I64" s="14" t="s">
        <v>17</v>
      </c>
      <c r="J64" s="316">
        <f t="shared" si="2"/>
        <v>195661.697567</v>
      </c>
      <c r="K64" s="316">
        <f t="shared" si="3"/>
        <v>442.33663376098525</v>
      </c>
    </row>
    <row r="65" spans="1:11" ht="15.5" x14ac:dyDescent="0.3">
      <c r="A65" s="284">
        <v>8</v>
      </c>
      <c r="B65" s="14" t="s">
        <v>24</v>
      </c>
      <c r="C65" s="316">
        <f>POWER(C10-B27,2)</f>
        <v>47378.922889000001</v>
      </c>
      <c r="D65" s="316">
        <f>POWER(D10-C27,2)</f>
        <v>49137.588899999995</v>
      </c>
      <c r="E65" s="14" t="s">
        <v>13</v>
      </c>
      <c r="F65" s="316">
        <f>POWER(F10-D27,2)</f>
        <v>47378.922889000001</v>
      </c>
      <c r="G65" s="316">
        <f>POWER(G10-E27,2)</f>
        <v>49136.258889000004</v>
      </c>
      <c r="H65" s="14" t="s">
        <v>13</v>
      </c>
      <c r="I65" s="14" t="s">
        <v>17</v>
      </c>
      <c r="J65" s="316">
        <f t="shared" si="2"/>
        <v>193031.69356699998</v>
      </c>
      <c r="K65" s="316">
        <f t="shared" si="3"/>
        <v>439.35372260514646</v>
      </c>
    </row>
    <row r="66" spans="1:11" ht="15.5" x14ac:dyDescent="0.3">
      <c r="A66" s="284">
        <v>9</v>
      </c>
      <c r="B66" s="14" t="s">
        <v>12</v>
      </c>
      <c r="C66" s="316">
        <f>POWER(C11-B27,2)</f>
        <v>33367.232888999999</v>
      </c>
      <c r="D66" s="316">
        <f>POWER(D11-C27,2)</f>
        <v>33003.988899999997</v>
      </c>
      <c r="E66" s="14" t="s">
        <v>13</v>
      </c>
      <c r="F66" s="316">
        <f>POWER(F11-D27,2)</f>
        <v>33367.232888999999</v>
      </c>
      <c r="G66" s="316">
        <f>POWER(G11-E27,2)</f>
        <v>33002.898889000004</v>
      </c>
      <c r="H66" s="14" t="s">
        <v>13</v>
      </c>
      <c r="I66" s="14" t="s">
        <v>17</v>
      </c>
      <c r="J66" s="316">
        <f t="shared" si="2"/>
        <v>132741.35356700001</v>
      </c>
      <c r="K66" s="316">
        <f t="shared" si="3"/>
        <v>364.33686825107338</v>
      </c>
    </row>
    <row r="67" spans="1:11" ht="15.5" x14ac:dyDescent="0.3">
      <c r="A67" s="284">
        <v>10</v>
      </c>
      <c r="B67" s="14" t="s">
        <v>16</v>
      </c>
      <c r="C67" s="316">
        <f>POWER(C12-B27,2)</f>
        <v>23307.212889000002</v>
      </c>
      <c r="D67" s="316">
        <f>POWER(D12-C27,2)</f>
        <v>17336.988899999997</v>
      </c>
      <c r="E67" s="14" t="s">
        <v>14</v>
      </c>
      <c r="F67" s="316">
        <f>POWER(F12-D27,2)</f>
        <v>23307.212889000002</v>
      </c>
      <c r="G67" s="316">
        <f>POWER(G12-E27,2)</f>
        <v>17336.198888999999</v>
      </c>
      <c r="H67" s="14" t="s">
        <v>14</v>
      </c>
      <c r="I67" s="14" t="s">
        <v>17</v>
      </c>
      <c r="J67" s="316">
        <f t="shared" si="2"/>
        <v>81287.613566999993</v>
      </c>
      <c r="K67" s="316">
        <f t="shared" si="3"/>
        <v>285.10982720172939</v>
      </c>
    </row>
    <row r="68" spans="1:11" ht="15.5" x14ac:dyDescent="0.3">
      <c r="A68" s="284">
        <v>11</v>
      </c>
      <c r="B68" s="14" t="s">
        <v>18</v>
      </c>
      <c r="C68" s="316">
        <f>POWER(C13-B27,2)</f>
        <v>37120.572889000003</v>
      </c>
      <c r="D68" s="316">
        <f>POWER(D13-C27,2)</f>
        <v>33003.988899999997</v>
      </c>
      <c r="E68" s="14" t="s">
        <v>14</v>
      </c>
      <c r="F68" s="316">
        <f>POWER(F13-D27,2)</f>
        <v>37120.572889000003</v>
      </c>
      <c r="G68" s="316">
        <f>POWER(G13-E27,2)</f>
        <v>33002.898889000004</v>
      </c>
      <c r="H68" s="14" t="s">
        <v>14</v>
      </c>
      <c r="I68" s="14" t="s">
        <v>17</v>
      </c>
      <c r="J68" s="316">
        <f t="shared" si="2"/>
        <v>140248.03356700001</v>
      </c>
      <c r="K68" s="316">
        <f t="shared" si="3"/>
        <v>374.49704079872248</v>
      </c>
    </row>
    <row r="69" spans="1:11" ht="15.5" x14ac:dyDescent="0.3">
      <c r="A69" s="284">
        <v>12</v>
      </c>
      <c r="B69" s="14" t="s">
        <v>26</v>
      </c>
      <c r="C69" s="316">
        <f>POWER(C14-B27,2)</f>
        <v>12693.852889</v>
      </c>
      <c r="D69" s="316">
        <f>POWER(D14-C27,2)</f>
        <v>17336.988899999997</v>
      </c>
      <c r="E69" s="14" t="s">
        <v>13</v>
      </c>
      <c r="F69" s="316">
        <f>POWER(F14-D27,2)</f>
        <v>12693.852889</v>
      </c>
      <c r="G69" s="316">
        <f>POWER(G14-E27,2)</f>
        <v>17336.198888999999</v>
      </c>
      <c r="H69" s="14" t="s">
        <v>13</v>
      </c>
      <c r="I69" s="14" t="s">
        <v>17</v>
      </c>
      <c r="J69" s="316">
        <f t="shared" si="2"/>
        <v>60060.893566999999</v>
      </c>
      <c r="K69" s="316">
        <f t="shared" si="3"/>
        <v>245.07324123004534</v>
      </c>
    </row>
    <row r="70" spans="1:11" ht="15.5" x14ac:dyDescent="0.3">
      <c r="A70" s="284">
        <v>13</v>
      </c>
      <c r="B70" s="14" t="s">
        <v>21</v>
      </c>
      <c r="C70" s="316">
        <f>POWER(C15-B27,2)</f>
        <v>33367.232888999999</v>
      </c>
      <c r="D70" s="316">
        <f>POWER(D15-C27,2)</f>
        <v>36737.388899999998</v>
      </c>
      <c r="E70" s="14" t="s">
        <v>13</v>
      </c>
      <c r="F70" s="316">
        <f>POWER(F15-D27,2)</f>
        <v>33367.232888999999</v>
      </c>
      <c r="G70" s="316">
        <f>POWER(G15-E27,2)</f>
        <v>36736.238889</v>
      </c>
      <c r="H70" s="14" t="s">
        <v>13</v>
      </c>
      <c r="I70" s="14" t="s">
        <v>17</v>
      </c>
      <c r="J70" s="316">
        <f t="shared" si="2"/>
        <v>140208.093567</v>
      </c>
      <c r="K70" s="316">
        <f t="shared" si="3"/>
        <v>374.44371214776726</v>
      </c>
    </row>
    <row r="71" spans="1:11" ht="15.5" x14ac:dyDescent="0.3">
      <c r="A71" s="284">
        <v>14</v>
      </c>
      <c r="B71" s="14" t="s">
        <v>22</v>
      </c>
      <c r="C71" s="316">
        <f>POWER(C16-B27,2)</f>
        <v>50475.260888999997</v>
      </c>
      <c r="D71" s="316">
        <f>POWER(D16-C27,2)</f>
        <v>49137.588899999995</v>
      </c>
      <c r="E71" s="14" t="s">
        <v>14</v>
      </c>
      <c r="F71" s="316">
        <f>POWER(F16-D27,2)</f>
        <v>50475.260888999997</v>
      </c>
      <c r="G71" s="316">
        <f>POWER(G16-E27,2)</f>
        <v>49136.258889000004</v>
      </c>
      <c r="H71" s="14" t="s">
        <v>14</v>
      </c>
      <c r="I71" s="14" t="s">
        <v>17</v>
      </c>
      <c r="J71" s="316">
        <f t="shared" si="2"/>
        <v>199224.36956700002</v>
      </c>
      <c r="K71" s="316">
        <f t="shared" si="3"/>
        <v>446.34557191373591</v>
      </c>
    </row>
    <row r="72" spans="1:11" ht="15.5" x14ac:dyDescent="0.3">
      <c r="A72" s="284">
        <v>15</v>
      </c>
      <c r="B72" s="14" t="s">
        <v>23</v>
      </c>
      <c r="C72" s="316">
        <f>POWER(C17-B27,2)</f>
        <v>45227.252889000003</v>
      </c>
      <c r="D72" s="316">
        <f>POWER(D17-C27,2)</f>
        <v>49137.588899999995</v>
      </c>
      <c r="E72" s="14" t="s">
        <v>13</v>
      </c>
      <c r="F72" s="316">
        <f>POWER(F17-D27,2)</f>
        <v>45227.252889000003</v>
      </c>
      <c r="G72" s="316">
        <f>POWER(G17-E27,2)</f>
        <v>49136.258889000004</v>
      </c>
      <c r="H72" s="14" t="s">
        <v>13</v>
      </c>
      <c r="I72" s="14" t="s">
        <v>17</v>
      </c>
      <c r="J72" s="316">
        <f t="shared" si="2"/>
        <v>188728.35356700001</v>
      </c>
      <c r="K72" s="316">
        <f t="shared" si="3"/>
        <v>434.42876696531044</v>
      </c>
    </row>
    <row r="73" spans="1:11" ht="15.5" x14ac:dyDescent="0.3">
      <c r="A73" s="284">
        <v>16</v>
      </c>
      <c r="B73" s="14" t="s">
        <v>24</v>
      </c>
      <c r="C73" s="316">
        <f>POWER(C18-B27,2)</f>
        <v>43125.582888999998</v>
      </c>
      <c r="D73" s="316">
        <f>POWER(D18-C27,2)</f>
        <v>49137.588899999995</v>
      </c>
      <c r="E73" s="14" t="s">
        <v>13</v>
      </c>
      <c r="F73" s="316">
        <f>POWER(F18-D27,2)</f>
        <v>43125.582888999998</v>
      </c>
      <c r="G73" s="316">
        <f>POWER(G18-E27,2)</f>
        <v>49136.258889000004</v>
      </c>
      <c r="H73" s="14" t="s">
        <v>13</v>
      </c>
      <c r="I73" s="14" t="s">
        <v>17</v>
      </c>
      <c r="J73" s="316">
        <f t="shared" si="2"/>
        <v>184525.01356699999</v>
      </c>
      <c r="K73" s="316">
        <f t="shared" si="3"/>
        <v>429.5637479664689</v>
      </c>
    </row>
    <row r="74" spans="1:11" ht="15.5" x14ac:dyDescent="0.3">
      <c r="A74" s="284">
        <v>17</v>
      </c>
      <c r="B74" s="14" t="s">
        <v>12</v>
      </c>
      <c r="C74" s="316">
        <f>POWER(C19-B27,2)</f>
        <v>13845.522889</v>
      </c>
      <c r="D74" s="316">
        <f>POWER(D19-C27,2)</f>
        <v>17336.988899999997</v>
      </c>
      <c r="E74" s="14" t="s">
        <v>13</v>
      </c>
      <c r="F74" s="316">
        <f>POWER(F19-D27,2)</f>
        <v>13845.522889</v>
      </c>
      <c r="G74" s="316">
        <f>POWER(G19-E27,2)</f>
        <v>17336.198888999999</v>
      </c>
      <c r="H74" s="14" t="s">
        <v>13</v>
      </c>
      <c r="I74" s="14" t="s">
        <v>17</v>
      </c>
      <c r="J74" s="316">
        <f t="shared" si="2"/>
        <v>62364.233566999996</v>
      </c>
      <c r="K74" s="316">
        <f t="shared" si="3"/>
        <v>249.72831951342641</v>
      </c>
    </row>
    <row r="75" spans="1:11" ht="15.5" x14ac:dyDescent="0.3">
      <c r="A75" s="284">
        <v>18</v>
      </c>
      <c r="B75" s="14" t="s">
        <v>16</v>
      </c>
      <c r="C75" s="316">
        <f>POWER(C20-B27,2)</f>
        <v>21805.542889</v>
      </c>
      <c r="D75" s="316">
        <f>POWER(D20-C27,2)</f>
        <v>20070.388899999998</v>
      </c>
      <c r="E75" s="14" t="s">
        <v>14</v>
      </c>
      <c r="F75" s="316">
        <f>POWER(F20-D27,2)</f>
        <v>21805.542889</v>
      </c>
      <c r="G75" s="316">
        <f>POWER(G20-E27,2)</f>
        <v>20069.538888999999</v>
      </c>
      <c r="H75" s="14" t="s">
        <v>14</v>
      </c>
      <c r="I75" s="14" t="s">
        <v>17</v>
      </c>
      <c r="J75" s="316">
        <f t="shared" si="2"/>
        <v>83751.013567000002</v>
      </c>
      <c r="K75" s="316">
        <f t="shared" si="3"/>
        <v>289.39767374151438</v>
      </c>
    </row>
    <row r="76" spans="1:11" ht="15.5" x14ac:dyDescent="0.3">
      <c r="A76" s="284">
        <v>19</v>
      </c>
      <c r="B76" s="14" t="s">
        <v>18</v>
      </c>
      <c r="C76" s="316">
        <f>POWER(C21-B27,2)</f>
        <v>23307.212889000002</v>
      </c>
      <c r="D76" s="316">
        <f>POWER(D21-C27,2)</f>
        <v>17336.988899999997</v>
      </c>
      <c r="E76" s="14" t="s">
        <v>14</v>
      </c>
      <c r="F76" s="316">
        <f>POWER(F21-D27,2)</f>
        <v>23307.212889000002</v>
      </c>
      <c r="G76" s="316">
        <f>POWER(G21-E27,2)</f>
        <v>17336.198888999999</v>
      </c>
      <c r="H76" s="14" t="s">
        <v>27</v>
      </c>
      <c r="I76" s="14" t="s">
        <v>17</v>
      </c>
      <c r="J76" s="316">
        <f t="shared" si="2"/>
        <v>81287.613566999993</v>
      </c>
      <c r="K76" s="316">
        <f t="shared" si="3"/>
        <v>285.10982720172939</v>
      </c>
    </row>
    <row r="77" spans="1:11" ht="15.5" x14ac:dyDescent="0.3">
      <c r="A77" s="284">
        <v>20</v>
      </c>
      <c r="B77" s="14" t="s">
        <v>21</v>
      </c>
      <c r="C77" s="316">
        <f>POWER(C22-B27,2)</f>
        <v>29813.892888999999</v>
      </c>
      <c r="D77" s="316">
        <f>POWER(D22-C27,2)</f>
        <v>33003.988899999997</v>
      </c>
      <c r="E77" s="14" t="s">
        <v>13</v>
      </c>
      <c r="F77" s="316">
        <f>POWER(F22-D27,2)</f>
        <v>29813.892888999999</v>
      </c>
      <c r="G77" s="316">
        <f>POWER(G22-E27,2)</f>
        <v>33002.898889000004</v>
      </c>
      <c r="H77" s="14" t="s">
        <v>13</v>
      </c>
      <c r="I77" s="14" t="s">
        <v>17</v>
      </c>
      <c r="J77" s="316">
        <f t="shared" si="2"/>
        <v>125634.67356699999</v>
      </c>
      <c r="K77" s="316">
        <f t="shared" si="3"/>
        <v>354.44981812239655</v>
      </c>
    </row>
    <row r="80" spans="1:11" ht="15.5" x14ac:dyDescent="0.3">
      <c r="A80" s="196" t="s">
        <v>31</v>
      </c>
      <c r="B80" s="196"/>
      <c r="C80" s="196"/>
      <c r="D80" s="196"/>
      <c r="E80" s="196"/>
      <c r="F80" s="196"/>
      <c r="G80" s="196"/>
      <c r="H80" s="196"/>
      <c r="I80" s="196"/>
      <c r="J80" s="196"/>
    </row>
    <row r="81" spans="1:10" x14ac:dyDescent="0.3">
      <c r="A81" s="197" t="s">
        <v>3</v>
      </c>
      <c r="B81" s="197" t="s">
        <v>4</v>
      </c>
      <c r="C81" s="198" t="s">
        <v>32</v>
      </c>
      <c r="D81" s="198"/>
      <c r="E81" s="198"/>
      <c r="F81" s="198" t="s">
        <v>33</v>
      </c>
      <c r="G81" s="198"/>
      <c r="H81" s="198"/>
      <c r="I81" s="198" t="s">
        <v>34</v>
      </c>
      <c r="J81" s="198"/>
    </row>
    <row r="82" spans="1:10" x14ac:dyDescent="0.3">
      <c r="A82" s="197"/>
      <c r="B82" s="197"/>
      <c r="C82" s="198"/>
      <c r="D82" s="198"/>
      <c r="E82" s="198"/>
      <c r="F82" s="198"/>
      <c r="G82" s="198"/>
      <c r="H82" s="198"/>
      <c r="I82" s="198"/>
      <c r="J82" s="198"/>
    </row>
    <row r="83" spans="1:10" ht="15.5" x14ac:dyDescent="0.3">
      <c r="A83" s="285">
        <v>1</v>
      </c>
      <c r="B83" s="194" t="s">
        <v>12</v>
      </c>
      <c r="C83" s="319">
        <f>SQRT(J33)</f>
        <v>118.50204592748599</v>
      </c>
      <c r="D83" s="319"/>
      <c r="E83" s="319"/>
      <c r="F83" s="319">
        <f>SQRT(J58)</f>
        <v>376.40062376011019</v>
      </c>
      <c r="G83" s="319"/>
      <c r="H83" s="319"/>
      <c r="I83" s="318" t="s">
        <v>36</v>
      </c>
      <c r="J83" s="318"/>
    </row>
    <row r="84" spans="1:10" ht="15.5" x14ac:dyDescent="0.3">
      <c r="A84" s="285">
        <v>2</v>
      </c>
      <c r="B84" s="194" t="s">
        <v>16</v>
      </c>
      <c r="C84" s="319">
        <f t="shared" ref="C84:C102" si="4">SQRT(J34)</f>
        <v>10.524775009471698</v>
      </c>
      <c r="D84" s="319"/>
      <c r="E84" s="319"/>
      <c r="F84" s="319">
        <f t="shared" ref="F84:F102" si="5">SQRT(J59)</f>
        <v>262.33741168007282</v>
      </c>
      <c r="G84" s="319"/>
      <c r="H84" s="319"/>
      <c r="I84" s="318" t="s">
        <v>36</v>
      </c>
      <c r="J84" s="318"/>
    </row>
    <row r="85" spans="1:10" ht="15.5" x14ac:dyDescent="0.3">
      <c r="A85" s="285">
        <v>3</v>
      </c>
      <c r="B85" s="194" t="s">
        <v>18</v>
      </c>
      <c r="C85" s="319">
        <f t="shared" si="4"/>
        <v>98.143073566095339</v>
      </c>
      <c r="D85" s="319"/>
      <c r="E85" s="319"/>
      <c r="F85" s="319">
        <f t="shared" si="5"/>
        <v>346.76766511167102</v>
      </c>
      <c r="G85" s="319"/>
      <c r="H85" s="319"/>
      <c r="I85" s="318" t="s">
        <v>36</v>
      </c>
      <c r="J85" s="318"/>
    </row>
    <row r="86" spans="1:10" ht="15.5" x14ac:dyDescent="0.3">
      <c r="A86" s="285">
        <v>4</v>
      </c>
      <c r="B86" s="194" t="s">
        <v>19</v>
      </c>
      <c r="C86" s="319">
        <f t="shared" si="4"/>
        <v>171.61600417501859</v>
      </c>
      <c r="D86" s="319"/>
      <c r="E86" s="319"/>
      <c r="F86" s="319">
        <f t="shared" si="5"/>
        <v>429.5637479664689</v>
      </c>
      <c r="G86" s="319"/>
      <c r="H86" s="319"/>
      <c r="I86" s="318" t="s">
        <v>36</v>
      </c>
      <c r="J86" s="318"/>
    </row>
    <row r="87" spans="1:10" ht="15.5" x14ac:dyDescent="0.3">
      <c r="A87" s="285">
        <v>5</v>
      </c>
      <c r="B87" s="194" t="s">
        <v>21</v>
      </c>
      <c r="C87" s="319">
        <f t="shared" si="4"/>
        <v>132.79835424055526</v>
      </c>
      <c r="D87" s="319"/>
      <c r="E87" s="319"/>
      <c r="F87" s="319">
        <f t="shared" si="5"/>
        <v>390.0746128204193</v>
      </c>
      <c r="G87" s="319"/>
      <c r="H87" s="319"/>
      <c r="I87" s="318" t="s">
        <v>36</v>
      </c>
      <c r="J87" s="318"/>
    </row>
    <row r="88" spans="1:10" ht="15.5" x14ac:dyDescent="0.3">
      <c r="A88" s="285">
        <v>6</v>
      </c>
      <c r="B88" s="194" t="s">
        <v>22</v>
      </c>
      <c r="C88" s="319">
        <f t="shared" si="4"/>
        <v>186.47263308324898</v>
      </c>
      <c r="D88" s="319"/>
      <c r="E88" s="319"/>
      <c r="F88" s="319">
        <f t="shared" si="5"/>
        <v>444.33662190618503</v>
      </c>
      <c r="G88" s="319"/>
      <c r="H88" s="319"/>
      <c r="I88" s="318" t="s">
        <v>36</v>
      </c>
      <c r="J88" s="318"/>
    </row>
    <row r="89" spans="1:10" ht="15.5" x14ac:dyDescent="0.3">
      <c r="A89" s="285">
        <v>7</v>
      </c>
      <c r="B89" s="194" t="s">
        <v>23</v>
      </c>
      <c r="C89" s="319">
        <f t="shared" si="4"/>
        <v>184.41993083449523</v>
      </c>
      <c r="D89" s="319"/>
      <c r="E89" s="319"/>
      <c r="F89" s="319">
        <f t="shared" si="5"/>
        <v>442.33663376098525</v>
      </c>
      <c r="G89" s="319"/>
      <c r="H89" s="319"/>
      <c r="I89" s="318" t="s">
        <v>36</v>
      </c>
      <c r="J89" s="318"/>
    </row>
    <row r="90" spans="1:10" ht="15.5" x14ac:dyDescent="0.3">
      <c r="A90" s="285">
        <v>8</v>
      </c>
      <c r="B90" s="194" t="s">
        <v>24</v>
      </c>
      <c r="C90" s="319">
        <f t="shared" si="4"/>
        <v>181.38002340114525</v>
      </c>
      <c r="D90" s="319"/>
      <c r="E90" s="319"/>
      <c r="F90" s="319">
        <f t="shared" si="5"/>
        <v>439.35372260514646</v>
      </c>
      <c r="G90" s="319"/>
      <c r="H90" s="319"/>
      <c r="I90" s="318" t="s">
        <v>36</v>
      </c>
      <c r="J90" s="318"/>
    </row>
    <row r="91" spans="1:10" ht="15.5" x14ac:dyDescent="0.3">
      <c r="A91" s="285">
        <v>9</v>
      </c>
      <c r="B91" s="194" t="s">
        <v>12</v>
      </c>
      <c r="C91" s="319">
        <f t="shared" si="4"/>
        <v>106.70240338905212</v>
      </c>
      <c r="D91" s="319"/>
      <c r="E91" s="319"/>
      <c r="F91" s="319">
        <f t="shared" si="5"/>
        <v>364.33686825107338</v>
      </c>
      <c r="G91" s="319"/>
      <c r="H91" s="319"/>
      <c r="I91" s="318" t="s">
        <v>36</v>
      </c>
      <c r="J91" s="318"/>
    </row>
    <row r="92" spans="1:10" ht="15.5" x14ac:dyDescent="0.3">
      <c r="A92" s="285">
        <v>10</v>
      </c>
      <c r="B92" s="194" t="s">
        <v>16</v>
      </c>
      <c r="C92" s="319">
        <f t="shared" si="4"/>
        <v>38.018717613828059</v>
      </c>
      <c r="D92" s="319"/>
      <c r="E92" s="319"/>
      <c r="F92" s="319">
        <f t="shared" si="5"/>
        <v>285.10982720172939</v>
      </c>
      <c r="G92" s="319"/>
      <c r="H92" s="319"/>
      <c r="I92" s="318" t="s">
        <v>36</v>
      </c>
      <c r="J92" s="318"/>
    </row>
    <row r="93" spans="1:10" ht="15.5" x14ac:dyDescent="0.3">
      <c r="A93" s="285">
        <v>11</v>
      </c>
      <c r="B93" s="194" t="s">
        <v>18</v>
      </c>
      <c r="C93" s="319">
        <f t="shared" si="4"/>
        <v>117.60979078716194</v>
      </c>
      <c r="D93" s="319"/>
      <c r="E93" s="319"/>
      <c r="F93" s="319">
        <f t="shared" si="5"/>
        <v>374.49704079872248</v>
      </c>
      <c r="G93" s="319"/>
      <c r="H93" s="319"/>
      <c r="I93" s="318" t="s">
        <v>36</v>
      </c>
      <c r="J93" s="318"/>
    </row>
    <row r="94" spans="1:10" ht="15.5" x14ac:dyDescent="0.3">
      <c r="A94" s="285">
        <v>12</v>
      </c>
      <c r="B94" s="194" t="s">
        <v>26</v>
      </c>
      <c r="C94" s="319">
        <f t="shared" si="4"/>
        <v>21.419217749488425</v>
      </c>
      <c r="D94" s="319"/>
      <c r="E94" s="319"/>
      <c r="F94" s="319">
        <f t="shared" si="5"/>
        <v>245.07324123004534</v>
      </c>
      <c r="G94" s="319"/>
      <c r="H94" s="319"/>
      <c r="I94" s="318" t="s">
        <v>36</v>
      </c>
      <c r="J94" s="318"/>
    </row>
    <row r="95" spans="1:10" ht="15.5" x14ac:dyDescent="0.3">
      <c r="A95" s="285">
        <v>13</v>
      </c>
      <c r="B95" s="194" t="s">
        <v>21</v>
      </c>
      <c r="C95" s="319">
        <f t="shared" si="4"/>
        <v>116.55643649751823</v>
      </c>
      <c r="D95" s="319"/>
      <c r="E95" s="319"/>
      <c r="F95" s="319">
        <f t="shared" si="5"/>
        <v>374.44371214776726</v>
      </c>
      <c r="G95" s="319"/>
      <c r="H95" s="319"/>
      <c r="I95" s="318" t="s">
        <v>36</v>
      </c>
      <c r="J95" s="318"/>
    </row>
    <row r="96" spans="1:10" ht="15.5" x14ac:dyDescent="0.3">
      <c r="A96" s="285">
        <v>14</v>
      </c>
      <c r="B96" s="194" t="s">
        <v>22</v>
      </c>
      <c r="C96" s="319">
        <f t="shared" si="4"/>
        <v>188.54541863699578</v>
      </c>
      <c r="D96" s="319"/>
      <c r="E96" s="319"/>
      <c r="F96" s="319">
        <f t="shared" si="5"/>
        <v>446.34557191373591</v>
      </c>
      <c r="G96" s="319"/>
      <c r="H96" s="319"/>
      <c r="I96" s="318" t="s">
        <v>36</v>
      </c>
      <c r="J96" s="318"/>
    </row>
    <row r="97" spans="1:10" ht="15.5" x14ac:dyDescent="0.3">
      <c r="A97" s="285">
        <v>15</v>
      </c>
      <c r="B97" s="194" t="s">
        <v>23</v>
      </c>
      <c r="C97" s="319">
        <f t="shared" si="4"/>
        <v>176.42387278653646</v>
      </c>
      <c r="D97" s="319"/>
      <c r="E97" s="319"/>
      <c r="F97" s="319">
        <f t="shared" si="5"/>
        <v>434.42876696531044</v>
      </c>
      <c r="G97" s="319"/>
      <c r="H97" s="319"/>
      <c r="I97" s="318" t="s">
        <v>36</v>
      </c>
      <c r="J97" s="318"/>
    </row>
    <row r="98" spans="1:10" ht="15.5" x14ac:dyDescent="0.3">
      <c r="A98" s="285">
        <v>16</v>
      </c>
      <c r="B98" s="194" t="s">
        <v>24</v>
      </c>
      <c r="C98" s="319">
        <f t="shared" si="4"/>
        <v>171.61600417501859</v>
      </c>
      <c r="D98" s="319"/>
      <c r="E98" s="319"/>
      <c r="F98" s="319">
        <f t="shared" si="5"/>
        <v>429.5637479664689</v>
      </c>
      <c r="G98" s="319"/>
      <c r="H98" s="319"/>
      <c r="I98" s="318" t="s">
        <v>36</v>
      </c>
      <c r="J98" s="318"/>
    </row>
    <row r="99" spans="1:10" ht="15.5" x14ac:dyDescent="0.3">
      <c r="A99" s="285">
        <v>17</v>
      </c>
      <c r="B99" s="194" t="s">
        <v>12</v>
      </c>
      <c r="C99" s="319">
        <f t="shared" si="4"/>
        <v>15.235251524014954</v>
      </c>
      <c r="D99" s="319"/>
      <c r="E99" s="319"/>
      <c r="F99" s="319">
        <f t="shared" si="5"/>
        <v>249.72831951342641</v>
      </c>
      <c r="G99" s="319"/>
      <c r="H99" s="319"/>
      <c r="I99" s="318" t="s">
        <v>36</v>
      </c>
      <c r="J99" s="318"/>
    </row>
    <row r="100" spans="1:10" ht="15.5" x14ac:dyDescent="0.3">
      <c r="A100" s="285">
        <v>18</v>
      </c>
      <c r="B100" s="194" t="s">
        <v>16</v>
      </c>
      <c r="C100" s="319">
        <f t="shared" si="4"/>
        <v>34.235842168697999</v>
      </c>
      <c r="D100" s="319"/>
      <c r="E100" s="319"/>
      <c r="F100" s="319">
        <f t="shared" si="5"/>
        <v>289.39767374151438</v>
      </c>
      <c r="G100" s="319"/>
      <c r="H100" s="319"/>
      <c r="I100" s="318" t="s">
        <v>36</v>
      </c>
      <c r="J100" s="318"/>
    </row>
    <row r="101" spans="1:10" ht="15.5" x14ac:dyDescent="0.3">
      <c r="A101" s="285">
        <v>19</v>
      </c>
      <c r="B101" s="194" t="s">
        <v>18</v>
      </c>
      <c r="C101" s="319">
        <f t="shared" si="4"/>
        <v>38.018717613828059</v>
      </c>
      <c r="D101" s="319"/>
      <c r="E101" s="319"/>
      <c r="F101" s="319">
        <f t="shared" si="5"/>
        <v>285.10982720172939</v>
      </c>
      <c r="G101" s="319"/>
      <c r="H101" s="319"/>
      <c r="I101" s="318" t="s">
        <v>36</v>
      </c>
      <c r="J101" s="318"/>
    </row>
    <row r="102" spans="1:10" ht="15.5" x14ac:dyDescent="0.3">
      <c r="A102" s="285">
        <v>20</v>
      </c>
      <c r="B102" s="194" t="s">
        <v>21</v>
      </c>
      <c r="C102" s="319">
        <f t="shared" si="4"/>
        <v>96.637171362783576</v>
      </c>
      <c r="D102" s="319"/>
      <c r="E102" s="319"/>
      <c r="F102" s="319">
        <f t="shared" si="5"/>
        <v>354.44981812239655</v>
      </c>
      <c r="G102" s="319"/>
      <c r="H102" s="319"/>
      <c r="I102" s="318" t="s">
        <v>36</v>
      </c>
      <c r="J102" s="318"/>
    </row>
    <row r="105" spans="1:10" ht="15.5" x14ac:dyDescent="0.3">
      <c r="A105" s="10" t="s">
        <v>37</v>
      </c>
      <c r="B105" s="10"/>
      <c r="C105" s="10"/>
      <c r="D105" s="10"/>
      <c r="E105" s="10"/>
      <c r="F105" s="10"/>
      <c r="G105" s="10"/>
      <c r="H105" s="10"/>
      <c r="I105" s="10"/>
    </row>
    <row r="106" spans="1:10" ht="15.5" x14ac:dyDescent="0.3">
      <c r="A106" s="320" t="s">
        <v>3</v>
      </c>
      <c r="B106" s="320" t="s">
        <v>39</v>
      </c>
      <c r="C106" s="320"/>
      <c r="D106" s="321" t="s">
        <v>5</v>
      </c>
      <c r="E106" s="321"/>
      <c r="F106" s="321" t="s">
        <v>6</v>
      </c>
      <c r="G106" s="321"/>
      <c r="H106" s="320" t="s">
        <v>30</v>
      </c>
      <c r="I106" s="320"/>
    </row>
    <row r="107" spans="1:10" ht="15.5" x14ac:dyDescent="0.3">
      <c r="A107" s="320"/>
      <c r="B107" s="320"/>
      <c r="C107" s="320"/>
      <c r="D107" s="322" t="s">
        <v>8</v>
      </c>
      <c r="E107" s="322" t="s">
        <v>9</v>
      </c>
      <c r="F107" s="322" t="s">
        <v>9</v>
      </c>
      <c r="G107" s="322" t="s">
        <v>8</v>
      </c>
      <c r="H107" s="320"/>
      <c r="I107" s="320"/>
    </row>
    <row r="108" spans="1:10" ht="15.5" x14ac:dyDescent="0.3">
      <c r="A108" s="288">
        <v>1</v>
      </c>
      <c r="B108" s="288" t="s">
        <v>36</v>
      </c>
      <c r="C108" s="288" t="s">
        <v>35</v>
      </c>
      <c r="D108" s="317">
        <f>POWER(B26-B27,2)</f>
        <v>14480.271556000002</v>
      </c>
      <c r="E108" s="317">
        <f>POWER(C26-C27,2)</f>
        <v>17336.988899999997</v>
      </c>
      <c r="F108" s="317">
        <f>POWER(D26-D27,2)</f>
        <v>14480.271556000002</v>
      </c>
      <c r="G108" s="317">
        <f>POWER(E26-E27,2)</f>
        <v>17336.198888999999</v>
      </c>
      <c r="H108" s="317">
        <f>SUM(D108:G108)</f>
        <v>63633.730900999995</v>
      </c>
      <c r="I108" s="317">
        <f>SQRT(H108)</f>
        <v>252.25727125496303</v>
      </c>
    </row>
    <row r="109" spans="1:10" ht="15.5" x14ac:dyDescent="0.3">
      <c r="A109" s="291" t="s">
        <v>38</v>
      </c>
      <c r="B109" s="292"/>
      <c r="C109" s="292"/>
      <c r="D109" s="292"/>
      <c r="E109" s="292"/>
      <c r="F109" s="292"/>
      <c r="G109" s="292"/>
      <c r="H109" s="293"/>
      <c r="I109" s="317">
        <f>I108</f>
        <v>252.25727125496303</v>
      </c>
    </row>
    <row r="112" spans="1:10" ht="15.5" x14ac:dyDescent="0.3">
      <c r="A112" s="10" t="s">
        <v>40</v>
      </c>
      <c r="B112" s="10"/>
      <c r="C112" s="10"/>
      <c r="D112" s="10"/>
      <c r="E112" s="10"/>
      <c r="F112" s="10"/>
      <c r="G112" s="10"/>
      <c r="H112" s="10"/>
    </row>
    <row r="113" spans="1:8" ht="15.5" x14ac:dyDescent="0.3">
      <c r="A113" s="200" t="s">
        <v>3</v>
      </c>
      <c r="B113" s="200" t="s">
        <v>4</v>
      </c>
      <c r="C113" s="196" t="s">
        <v>34</v>
      </c>
      <c r="D113" s="196"/>
      <c r="E113" s="196"/>
      <c r="F113" s="201" t="s">
        <v>41</v>
      </c>
      <c r="G113" s="201"/>
      <c r="H113" s="201"/>
    </row>
    <row r="114" spans="1:8" ht="15.5" x14ac:dyDescent="0.3">
      <c r="A114" s="200"/>
      <c r="B114" s="200"/>
      <c r="C114" s="196"/>
      <c r="D114" s="196"/>
      <c r="E114" s="196"/>
      <c r="F114" s="201" t="s">
        <v>42</v>
      </c>
      <c r="G114" s="201"/>
      <c r="H114" s="201"/>
    </row>
    <row r="115" spans="1:8" ht="15.5" x14ac:dyDescent="0.3">
      <c r="A115" s="193">
        <v>1</v>
      </c>
      <c r="B115" s="194" t="s">
        <v>12</v>
      </c>
      <c r="C115" s="319">
        <f>C83</f>
        <v>118.50204592748599</v>
      </c>
      <c r="D115" s="319"/>
      <c r="E115" s="319"/>
      <c r="F115" s="319">
        <f>POWER(C115,2)</f>
        <v>14042.734888999999</v>
      </c>
      <c r="G115" s="319"/>
      <c r="H115" s="319"/>
    </row>
    <row r="116" spans="1:8" ht="15.5" x14ac:dyDescent="0.3">
      <c r="A116" s="193">
        <v>2</v>
      </c>
      <c r="B116" s="194" t="s">
        <v>16</v>
      </c>
      <c r="C116" s="319">
        <f>C84</f>
        <v>10.524775009471698</v>
      </c>
      <c r="D116" s="319"/>
      <c r="E116" s="319"/>
      <c r="F116" s="319">
        <f t="shared" ref="F116:F134" si="6">POWER(C116,2)</f>
        <v>110.77088899999998</v>
      </c>
      <c r="G116" s="319"/>
      <c r="H116" s="319"/>
    </row>
    <row r="117" spans="1:8" ht="15.5" x14ac:dyDescent="0.3">
      <c r="A117" s="193">
        <v>3</v>
      </c>
      <c r="B117" s="194" t="s">
        <v>18</v>
      </c>
      <c r="C117" s="319">
        <f t="shared" ref="C117:C134" si="7">C85</f>
        <v>98.143073566095339</v>
      </c>
      <c r="D117" s="319"/>
      <c r="E117" s="319"/>
      <c r="F117" s="319">
        <f t="shared" si="6"/>
        <v>9632.0628890000025</v>
      </c>
      <c r="G117" s="319"/>
      <c r="H117" s="319"/>
    </row>
    <row r="118" spans="1:8" ht="15.5" x14ac:dyDescent="0.3">
      <c r="A118" s="193">
        <v>4</v>
      </c>
      <c r="B118" s="194" t="s">
        <v>19</v>
      </c>
      <c r="C118" s="319">
        <f t="shared" si="7"/>
        <v>171.61600417501859</v>
      </c>
      <c r="D118" s="319"/>
      <c r="E118" s="319"/>
      <c r="F118" s="319">
        <f t="shared" si="6"/>
        <v>29452.052888999999</v>
      </c>
      <c r="G118" s="319"/>
      <c r="H118" s="319"/>
    </row>
    <row r="119" spans="1:8" ht="15.5" x14ac:dyDescent="0.3">
      <c r="A119" s="193">
        <v>5</v>
      </c>
      <c r="B119" s="194" t="s">
        <v>21</v>
      </c>
      <c r="C119" s="319">
        <f t="shared" si="7"/>
        <v>132.79835424055526</v>
      </c>
      <c r="D119" s="319"/>
      <c r="E119" s="319"/>
      <c r="F119" s="319">
        <f t="shared" si="6"/>
        <v>17635.402889000001</v>
      </c>
      <c r="G119" s="319"/>
      <c r="H119" s="319"/>
    </row>
    <row r="120" spans="1:8" ht="15.5" x14ac:dyDescent="0.3">
      <c r="A120" s="193">
        <v>6</v>
      </c>
      <c r="B120" s="194" t="s">
        <v>22</v>
      </c>
      <c r="C120" s="319">
        <f t="shared" si="7"/>
        <v>186.47263308324898</v>
      </c>
      <c r="D120" s="319"/>
      <c r="E120" s="319"/>
      <c r="F120" s="319">
        <f t="shared" si="6"/>
        <v>34772.042889000004</v>
      </c>
      <c r="G120" s="319"/>
      <c r="H120" s="319"/>
    </row>
    <row r="121" spans="1:8" ht="15.5" x14ac:dyDescent="0.3">
      <c r="A121" s="193">
        <v>7</v>
      </c>
      <c r="B121" s="194" t="s">
        <v>23</v>
      </c>
      <c r="C121" s="319">
        <f t="shared" si="7"/>
        <v>184.41993083449523</v>
      </c>
      <c r="D121" s="319"/>
      <c r="E121" s="319"/>
      <c r="F121" s="319">
        <f t="shared" si="6"/>
        <v>34010.710889000009</v>
      </c>
      <c r="G121" s="319"/>
      <c r="H121" s="319"/>
    </row>
    <row r="122" spans="1:8" ht="15.5" x14ac:dyDescent="0.3">
      <c r="A122" s="193">
        <v>8</v>
      </c>
      <c r="B122" s="194" t="s">
        <v>24</v>
      </c>
      <c r="C122" s="319">
        <f t="shared" si="7"/>
        <v>181.38002340114525</v>
      </c>
      <c r="D122" s="319"/>
      <c r="E122" s="319"/>
      <c r="F122" s="319">
        <f t="shared" si="6"/>
        <v>32898.712889000002</v>
      </c>
      <c r="G122" s="319"/>
      <c r="H122" s="319"/>
    </row>
    <row r="123" spans="1:8" ht="15.5" x14ac:dyDescent="0.3">
      <c r="A123" s="193">
        <v>9</v>
      </c>
      <c r="B123" s="194" t="s">
        <v>12</v>
      </c>
      <c r="C123" s="319">
        <f t="shared" si="7"/>
        <v>106.70240338905212</v>
      </c>
      <c r="D123" s="319"/>
      <c r="E123" s="319"/>
      <c r="F123" s="319">
        <f t="shared" si="6"/>
        <v>11385.402889000003</v>
      </c>
      <c r="G123" s="319"/>
      <c r="H123" s="319"/>
    </row>
    <row r="124" spans="1:8" ht="15.5" x14ac:dyDescent="0.3">
      <c r="A124" s="193">
        <v>10</v>
      </c>
      <c r="B124" s="194" t="s">
        <v>16</v>
      </c>
      <c r="C124" s="319">
        <f t="shared" si="7"/>
        <v>38.018717613828059</v>
      </c>
      <c r="D124" s="319"/>
      <c r="E124" s="319"/>
      <c r="F124" s="319">
        <f t="shared" si="6"/>
        <v>1445.4228889999999</v>
      </c>
      <c r="G124" s="319"/>
      <c r="H124" s="319"/>
    </row>
    <row r="125" spans="1:8" ht="15.5" x14ac:dyDescent="0.3">
      <c r="A125" s="193">
        <v>11</v>
      </c>
      <c r="B125" s="194" t="s">
        <v>18</v>
      </c>
      <c r="C125" s="319">
        <f t="shared" si="7"/>
        <v>117.60979078716194</v>
      </c>
      <c r="D125" s="319"/>
      <c r="E125" s="319"/>
      <c r="F125" s="319">
        <f t="shared" si="6"/>
        <v>13832.062889000003</v>
      </c>
      <c r="G125" s="319"/>
      <c r="H125" s="319"/>
    </row>
    <row r="126" spans="1:8" ht="15.5" x14ac:dyDescent="0.3">
      <c r="A126" s="193">
        <v>12</v>
      </c>
      <c r="B126" s="194" t="s">
        <v>26</v>
      </c>
      <c r="C126" s="319">
        <f t="shared" si="7"/>
        <v>21.419217749488425</v>
      </c>
      <c r="D126" s="319"/>
      <c r="E126" s="319"/>
      <c r="F126" s="319">
        <f t="shared" si="6"/>
        <v>458.78288899999995</v>
      </c>
      <c r="G126" s="319"/>
      <c r="H126" s="319"/>
    </row>
    <row r="127" spans="1:8" ht="15.5" x14ac:dyDescent="0.3">
      <c r="A127" s="193">
        <v>13</v>
      </c>
      <c r="B127" s="194" t="s">
        <v>21</v>
      </c>
      <c r="C127" s="319">
        <f t="shared" si="7"/>
        <v>116.55643649751823</v>
      </c>
      <c r="D127" s="319"/>
      <c r="E127" s="319"/>
      <c r="F127" s="319">
        <f t="shared" si="6"/>
        <v>13585.402889000001</v>
      </c>
      <c r="G127" s="319"/>
      <c r="H127" s="319"/>
    </row>
    <row r="128" spans="1:8" ht="15.5" x14ac:dyDescent="0.3">
      <c r="A128" s="193">
        <v>14</v>
      </c>
      <c r="B128" s="194" t="s">
        <v>22</v>
      </c>
      <c r="C128" s="319">
        <f t="shared" si="7"/>
        <v>188.54541863699578</v>
      </c>
      <c r="D128" s="319"/>
      <c r="E128" s="319"/>
      <c r="F128" s="319">
        <f t="shared" si="6"/>
        <v>35549.374888999992</v>
      </c>
      <c r="G128" s="319"/>
      <c r="H128" s="319"/>
    </row>
    <row r="129" spans="1:9" ht="15.5" x14ac:dyDescent="0.3">
      <c r="A129" s="193">
        <v>15</v>
      </c>
      <c r="B129" s="194" t="s">
        <v>23</v>
      </c>
      <c r="C129" s="319">
        <f t="shared" si="7"/>
        <v>176.42387278653646</v>
      </c>
      <c r="D129" s="319"/>
      <c r="E129" s="319"/>
      <c r="F129" s="319">
        <f t="shared" si="6"/>
        <v>31125.382889</v>
      </c>
      <c r="G129" s="319"/>
      <c r="H129" s="319"/>
    </row>
    <row r="130" spans="1:9" ht="15.5" x14ac:dyDescent="0.3">
      <c r="A130" s="193">
        <v>16</v>
      </c>
      <c r="B130" s="194" t="s">
        <v>24</v>
      </c>
      <c r="C130" s="319">
        <f t="shared" si="7"/>
        <v>171.61600417501859</v>
      </c>
      <c r="D130" s="319"/>
      <c r="E130" s="319"/>
      <c r="F130" s="319">
        <f t="shared" si="6"/>
        <v>29452.052888999999</v>
      </c>
      <c r="G130" s="319"/>
      <c r="H130" s="319"/>
    </row>
    <row r="131" spans="1:9" ht="15.5" x14ac:dyDescent="0.3">
      <c r="A131" s="193">
        <v>17</v>
      </c>
      <c r="B131" s="194" t="s">
        <v>12</v>
      </c>
      <c r="C131" s="319">
        <f t="shared" si="7"/>
        <v>15.235251524014954</v>
      </c>
      <c r="D131" s="319"/>
      <c r="E131" s="319"/>
      <c r="F131" s="319">
        <f t="shared" si="6"/>
        <v>232.11288899999997</v>
      </c>
      <c r="G131" s="319"/>
      <c r="H131" s="319"/>
    </row>
    <row r="132" spans="1:9" ht="15.5" x14ac:dyDescent="0.3">
      <c r="A132" s="193">
        <v>18</v>
      </c>
      <c r="B132" s="194" t="s">
        <v>16</v>
      </c>
      <c r="C132" s="319">
        <f t="shared" si="7"/>
        <v>34.235842168697999</v>
      </c>
      <c r="D132" s="319"/>
      <c r="E132" s="319"/>
      <c r="F132" s="319">
        <f t="shared" si="6"/>
        <v>1172.0928890000002</v>
      </c>
      <c r="G132" s="319"/>
      <c r="H132" s="319"/>
    </row>
    <row r="133" spans="1:9" ht="15.5" x14ac:dyDescent="0.3">
      <c r="A133" s="193">
        <v>19</v>
      </c>
      <c r="B133" s="194" t="s">
        <v>18</v>
      </c>
      <c r="C133" s="319">
        <f t="shared" si="7"/>
        <v>38.018717613828059</v>
      </c>
      <c r="D133" s="319"/>
      <c r="E133" s="319"/>
      <c r="F133" s="319">
        <f t="shared" si="6"/>
        <v>1445.4228889999999</v>
      </c>
      <c r="G133" s="319"/>
      <c r="H133" s="319"/>
    </row>
    <row r="134" spans="1:9" ht="15.5" x14ac:dyDescent="0.3">
      <c r="A134" s="193">
        <v>20</v>
      </c>
      <c r="B134" s="194" t="s">
        <v>21</v>
      </c>
      <c r="C134" s="319">
        <f t="shared" si="7"/>
        <v>96.637171362783576</v>
      </c>
      <c r="D134" s="319"/>
      <c r="E134" s="319"/>
      <c r="F134" s="319">
        <f t="shared" si="6"/>
        <v>9338.7428889999974</v>
      </c>
      <c r="G134" s="319"/>
      <c r="H134" s="319"/>
    </row>
    <row r="135" spans="1:9" ht="15.5" x14ac:dyDescent="0.3">
      <c r="A135" s="10"/>
      <c r="B135" s="10"/>
      <c r="C135" s="10"/>
      <c r="D135" s="10"/>
      <c r="E135" s="10"/>
      <c r="F135" s="10" t="s">
        <v>43</v>
      </c>
      <c r="G135" s="10"/>
      <c r="H135" s="202">
        <f>SUM(F115+F116+F117+F118+F119+F120+F121+F122+F123+F124+F125+F126+F127+F128+F129+F130+F131+F132+F133+F134)</f>
        <v>321576.74777999992</v>
      </c>
    </row>
    <row r="137" spans="1:9" x14ac:dyDescent="0.3">
      <c r="A137" s="5" t="s">
        <v>44</v>
      </c>
      <c r="B137" s="5"/>
      <c r="C137" s="5"/>
      <c r="D137" s="5"/>
      <c r="E137" s="5"/>
      <c r="F137" s="5"/>
      <c r="G137" s="5"/>
      <c r="H137" s="4">
        <f>I109/H135</f>
        <v>7.8443877860080735E-4</v>
      </c>
    </row>
    <row r="139" spans="1:9" ht="15.5" x14ac:dyDescent="0.3">
      <c r="A139" s="9" t="s">
        <v>51</v>
      </c>
      <c r="B139" s="9"/>
      <c r="C139" s="9"/>
      <c r="D139" s="9"/>
      <c r="E139" s="9"/>
      <c r="F139" s="9"/>
      <c r="G139" s="9"/>
      <c r="H139" s="9"/>
      <c r="I139" s="9"/>
    </row>
    <row r="140" spans="1:9" ht="15.5" x14ac:dyDescent="0.3">
      <c r="A140" s="10" t="s">
        <v>49</v>
      </c>
      <c r="B140" s="10"/>
      <c r="C140" s="10"/>
      <c r="D140" s="10"/>
      <c r="E140" s="10"/>
      <c r="F140" s="10"/>
      <c r="G140" s="10"/>
      <c r="H140" s="10"/>
      <c r="I140" s="10"/>
    </row>
    <row r="141" spans="1:9" ht="15.5" x14ac:dyDescent="0.3">
      <c r="A141" s="11" t="s">
        <v>3</v>
      </c>
      <c r="B141" s="11" t="s">
        <v>4</v>
      </c>
      <c r="C141" s="12" t="s">
        <v>5</v>
      </c>
      <c r="D141" s="12"/>
      <c r="E141" s="12"/>
      <c r="F141" s="12" t="s">
        <v>6</v>
      </c>
      <c r="G141" s="12"/>
      <c r="H141" s="12"/>
      <c r="I141" s="11" t="s">
        <v>7</v>
      </c>
    </row>
    <row r="142" spans="1:9" ht="15.5" x14ac:dyDescent="0.3">
      <c r="A142" s="11"/>
      <c r="B142" s="11"/>
      <c r="C142" s="13" t="s">
        <v>8</v>
      </c>
      <c r="D142" s="13" t="s">
        <v>9</v>
      </c>
      <c r="E142" s="13" t="s">
        <v>10</v>
      </c>
      <c r="F142" s="13" t="s">
        <v>9</v>
      </c>
      <c r="G142" s="13" t="s">
        <v>8</v>
      </c>
      <c r="H142" s="13" t="s">
        <v>11</v>
      </c>
      <c r="I142" s="11"/>
    </row>
    <row r="143" spans="1:9" ht="15.5" x14ac:dyDescent="0.3">
      <c r="A143" s="323" t="s">
        <v>53</v>
      </c>
      <c r="B143" s="43" t="s">
        <v>12</v>
      </c>
      <c r="C143" s="44">
        <v>48</v>
      </c>
      <c r="D143" s="45">
        <v>40</v>
      </c>
      <c r="E143" s="46" t="s">
        <v>13</v>
      </c>
      <c r="F143" s="47">
        <v>48</v>
      </c>
      <c r="G143" s="48">
        <v>40</v>
      </c>
      <c r="H143" s="49" t="s">
        <v>14</v>
      </c>
      <c r="I143" s="50" t="s">
        <v>15</v>
      </c>
    </row>
    <row r="144" spans="1:9" ht="15.5" x14ac:dyDescent="0.3">
      <c r="A144" s="323" t="s">
        <v>67</v>
      </c>
      <c r="B144" s="52" t="s">
        <v>16</v>
      </c>
      <c r="C144" s="53">
        <v>102</v>
      </c>
      <c r="D144" s="54">
        <v>100</v>
      </c>
      <c r="E144" s="55" t="s">
        <v>13</v>
      </c>
      <c r="F144" s="56">
        <v>102</v>
      </c>
      <c r="G144" s="57">
        <v>100</v>
      </c>
      <c r="H144" s="58" t="s">
        <v>13</v>
      </c>
      <c r="I144" s="59" t="s">
        <v>17</v>
      </c>
    </row>
    <row r="145" spans="1:9" ht="15.5" x14ac:dyDescent="0.3">
      <c r="A145" s="323" t="s">
        <v>52</v>
      </c>
      <c r="B145" s="61" t="s">
        <v>18</v>
      </c>
      <c r="C145" s="62">
        <v>40</v>
      </c>
      <c r="D145" s="63">
        <v>80</v>
      </c>
      <c r="E145" s="64" t="s">
        <v>14</v>
      </c>
      <c r="F145" s="65">
        <v>40</v>
      </c>
      <c r="G145" s="66">
        <v>80</v>
      </c>
      <c r="H145" s="67" t="s">
        <v>14</v>
      </c>
      <c r="I145" s="68" t="s">
        <v>17</v>
      </c>
    </row>
    <row r="146" spans="1:9" ht="15.5" x14ac:dyDescent="0.3">
      <c r="A146" s="323" t="s">
        <v>56</v>
      </c>
      <c r="B146" s="70" t="s">
        <v>19</v>
      </c>
      <c r="C146" s="71">
        <v>25</v>
      </c>
      <c r="D146" s="72">
        <v>10</v>
      </c>
      <c r="E146" s="73" t="s">
        <v>20</v>
      </c>
      <c r="F146" s="74">
        <v>25</v>
      </c>
      <c r="G146" s="75">
        <v>10</v>
      </c>
      <c r="H146" s="76" t="s">
        <v>13</v>
      </c>
      <c r="I146" s="77" t="s">
        <v>17</v>
      </c>
    </row>
    <row r="147" spans="1:9" ht="15.5" x14ac:dyDescent="0.3">
      <c r="A147" s="323" t="s">
        <v>57</v>
      </c>
      <c r="B147" s="79" t="s">
        <v>21</v>
      </c>
      <c r="C147" s="80">
        <v>50</v>
      </c>
      <c r="D147" s="81">
        <v>25</v>
      </c>
      <c r="E147" s="82" t="s">
        <v>13</v>
      </c>
      <c r="F147" s="83">
        <v>50</v>
      </c>
      <c r="G147" s="84">
        <v>25</v>
      </c>
      <c r="H147" s="85" t="s">
        <v>13</v>
      </c>
      <c r="I147" s="86" t="s">
        <v>17</v>
      </c>
    </row>
    <row r="148" spans="1:9" ht="15.5" x14ac:dyDescent="0.3">
      <c r="A148" s="323" t="s">
        <v>54</v>
      </c>
      <c r="B148" s="88" t="s">
        <v>22</v>
      </c>
      <c r="C148" s="89">
        <v>10</v>
      </c>
      <c r="D148" s="90">
        <v>10</v>
      </c>
      <c r="E148" s="91" t="s">
        <v>13</v>
      </c>
      <c r="F148" s="92">
        <v>10</v>
      </c>
      <c r="G148" s="93">
        <v>10</v>
      </c>
      <c r="H148" s="94" t="s">
        <v>13</v>
      </c>
      <c r="I148" s="95" t="s">
        <v>17</v>
      </c>
    </row>
    <row r="149" spans="1:9" ht="15.5" x14ac:dyDescent="0.3">
      <c r="A149" s="323" t="s">
        <v>58</v>
      </c>
      <c r="B149" s="52" t="s">
        <v>23</v>
      </c>
      <c r="C149" s="53">
        <v>12</v>
      </c>
      <c r="D149" s="54">
        <v>10</v>
      </c>
      <c r="E149" s="55" t="s">
        <v>13</v>
      </c>
      <c r="F149" s="56">
        <v>12</v>
      </c>
      <c r="G149" s="57">
        <v>10</v>
      </c>
      <c r="H149" s="58" t="s">
        <v>13</v>
      </c>
      <c r="I149" s="59" t="s">
        <v>17</v>
      </c>
    </row>
    <row r="150" spans="1:9" ht="15.5" x14ac:dyDescent="0.3">
      <c r="A150" s="323" t="s">
        <v>55</v>
      </c>
      <c r="B150" s="52" t="s">
        <v>24</v>
      </c>
      <c r="C150" s="53">
        <v>15</v>
      </c>
      <c r="D150" s="54">
        <v>10</v>
      </c>
      <c r="E150" s="55" t="s">
        <v>13</v>
      </c>
      <c r="F150" s="56">
        <v>15</v>
      </c>
      <c r="G150" s="57">
        <v>10</v>
      </c>
      <c r="H150" s="58" t="s">
        <v>13</v>
      </c>
      <c r="I150" s="59" t="s">
        <v>17</v>
      </c>
    </row>
    <row r="151" spans="1:9" ht="15.5" x14ac:dyDescent="0.3">
      <c r="A151" s="323" t="s">
        <v>59</v>
      </c>
      <c r="B151" s="97" t="s">
        <v>12</v>
      </c>
      <c r="C151" s="98">
        <v>50</v>
      </c>
      <c r="D151" s="99">
        <v>50</v>
      </c>
      <c r="E151" s="100" t="s">
        <v>13</v>
      </c>
      <c r="F151" s="101">
        <v>50</v>
      </c>
      <c r="G151" s="102">
        <v>50</v>
      </c>
      <c r="H151" s="103" t="s">
        <v>13</v>
      </c>
      <c r="I151" s="104" t="s">
        <v>17</v>
      </c>
    </row>
    <row r="152" spans="1:9" ht="15.5" x14ac:dyDescent="0.3">
      <c r="A152" s="323" t="s">
        <v>60</v>
      </c>
      <c r="B152" s="106" t="s">
        <v>16</v>
      </c>
      <c r="C152" s="107">
        <v>80</v>
      </c>
      <c r="D152" s="108">
        <v>100</v>
      </c>
      <c r="E152" s="109" t="s">
        <v>14</v>
      </c>
      <c r="F152" s="110">
        <v>80</v>
      </c>
      <c r="G152" s="111">
        <v>100</v>
      </c>
      <c r="H152" s="112" t="s">
        <v>14</v>
      </c>
      <c r="I152" s="113" t="s">
        <v>17</v>
      </c>
    </row>
    <row r="153" spans="1:9" ht="15.5" x14ac:dyDescent="0.3">
      <c r="A153" s="323" t="s">
        <v>61</v>
      </c>
      <c r="B153" s="115" t="s">
        <v>18</v>
      </c>
      <c r="C153" s="116">
        <v>40</v>
      </c>
      <c r="D153" s="117">
        <v>50</v>
      </c>
      <c r="E153" s="118" t="s">
        <v>14</v>
      </c>
      <c r="F153" s="119">
        <v>40</v>
      </c>
      <c r="G153" s="120">
        <v>50</v>
      </c>
      <c r="H153" s="121" t="s">
        <v>14</v>
      </c>
      <c r="I153" s="122" t="s">
        <v>17</v>
      </c>
    </row>
    <row r="154" spans="1:9" ht="15.5" x14ac:dyDescent="0.3">
      <c r="A154" s="323" t="s">
        <v>62</v>
      </c>
      <c r="B154" s="124" t="s">
        <v>26</v>
      </c>
      <c r="C154" s="125">
        <v>120</v>
      </c>
      <c r="D154" s="126">
        <v>100</v>
      </c>
      <c r="E154" s="127" t="s">
        <v>13</v>
      </c>
      <c r="F154" s="128">
        <v>120</v>
      </c>
      <c r="G154" s="129">
        <v>100</v>
      </c>
      <c r="H154" s="130" t="s">
        <v>13</v>
      </c>
      <c r="I154" s="131" t="s">
        <v>17</v>
      </c>
    </row>
    <row r="155" spans="1:9" ht="15.5" x14ac:dyDescent="0.3">
      <c r="A155" s="323" t="s">
        <v>63</v>
      </c>
      <c r="B155" s="52" t="s">
        <v>21</v>
      </c>
      <c r="C155" s="53">
        <v>50</v>
      </c>
      <c r="D155" s="54">
        <v>40</v>
      </c>
      <c r="E155" s="55" t="s">
        <v>13</v>
      </c>
      <c r="F155" s="56">
        <v>50</v>
      </c>
      <c r="G155" s="57">
        <v>40</v>
      </c>
      <c r="H155" s="58" t="s">
        <v>13</v>
      </c>
      <c r="I155" s="59" t="s">
        <v>17</v>
      </c>
    </row>
    <row r="156" spans="1:9" ht="15.5" x14ac:dyDescent="0.3">
      <c r="A156" s="323" t="s">
        <v>64</v>
      </c>
      <c r="B156" s="133" t="s">
        <v>22</v>
      </c>
      <c r="C156" s="134">
        <v>8</v>
      </c>
      <c r="D156" s="135">
        <v>10</v>
      </c>
      <c r="E156" s="136" t="s">
        <v>14</v>
      </c>
      <c r="F156" s="137">
        <v>8</v>
      </c>
      <c r="G156" s="138">
        <v>10</v>
      </c>
      <c r="H156" s="139" t="s">
        <v>14</v>
      </c>
      <c r="I156" s="140" t="s">
        <v>17</v>
      </c>
    </row>
    <row r="157" spans="1:9" ht="15.5" x14ac:dyDescent="0.3">
      <c r="A157" s="323" t="s">
        <v>65</v>
      </c>
      <c r="B157" s="142" t="s">
        <v>23</v>
      </c>
      <c r="C157" s="143">
        <v>20</v>
      </c>
      <c r="D157" s="144">
        <v>10</v>
      </c>
      <c r="E157" s="145" t="s">
        <v>13</v>
      </c>
      <c r="F157" s="146">
        <v>20</v>
      </c>
      <c r="G157" s="147">
        <v>10</v>
      </c>
      <c r="H157" s="148" t="s">
        <v>13</v>
      </c>
      <c r="I157" s="149" t="s">
        <v>17</v>
      </c>
    </row>
    <row r="158" spans="1:9" ht="15.5" x14ac:dyDescent="0.3">
      <c r="A158" s="323" t="s">
        <v>66</v>
      </c>
      <c r="B158" s="151" t="s">
        <v>24</v>
      </c>
      <c r="C158" s="152">
        <v>25</v>
      </c>
      <c r="D158" s="153">
        <v>10</v>
      </c>
      <c r="E158" s="154" t="s">
        <v>13</v>
      </c>
      <c r="F158" s="155">
        <v>25</v>
      </c>
      <c r="G158" s="156">
        <v>10</v>
      </c>
      <c r="H158" s="157" t="s">
        <v>13</v>
      </c>
      <c r="I158" s="158" t="s">
        <v>17</v>
      </c>
    </row>
    <row r="159" spans="1:9" ht="15.5" x14ac:dyDescent="0.3">
      <c r="A159" s="323" t="s">
        <v>68</v>
      </c>
      <c r="B159" s="52" t="s">
        <v>12</v>
      </c>
      <c r="C159" s="53">
        <v>115</v>
      </c>
      <c r="D159" s="54">
        <v>100</v>
      </c>
      <c r="E159" s="55" t="s">
        <v>13</v>
      </c>
      <c r="F159" s="56">
        <v>115</v>
      </c>
      <c r="G159" s="57">
        <v>100</v>
      </c>
      <c r="H159" s="58" t="s">
        <v>13</v>
      </c>
      <c r="I159" s="59" t="s">
        <v>17</v>
      </c>
    </row>
    <row r="160" spans="1:9" ht="15.5" x14ac:dyDescent="0.3">
      <c r="A160" s="323" t="s">
        <v>69</v>
      </c>
      <c r="B160" s="160" t="s">
        <v>16</v>
      </c>
      <c r="C160" s="161">
        <v>85</v>
      </c>
      <c r="D160" s="162">
        <v>90</v>
      </c>
      <c r="E160" s="163" t="s">
        <v>14</v>
      </c>
      <c r="F160" s="164">
        <v>85</v>
      </c>
      <c r="G160" s="165">
        <v>90</v>
      </c>
      <c r="H160" s="166" t="s">
        <v>14</v>
      </c>
      <c r="I160" s="167" t="s">
        <v>17</v>
      </c>
    </row>
    <row r="161" spans="1:9" ht="15.5" x14ac:dyDescent="0.3">
      <c r="A161" s="323" t="s">
        <v>70</v>
      </c>
      <c r="B161" s="169" t="s">
        <v>18</v>
      </c>
      <c r="C161" s="170">
        <v>80</v>
      </c>
      <c r="D161" s="171">
        <v>100</v>
      </c>
      <c r="E161" s="172" t="s">
        <v>14</v>
      </c>
      <c r="F161" s="173">
        <v>80</v>
      </c>
      <c r="G161" s="174">
        <v>100</v>
      </c>
      <c r="H161" s="175" t="s">
        <v>27</v>
      </c>
      <c r="I161" s="176" t="s">
        <v>17</v>
      </c>
    </row>
    <row r="162" spans="1:9" ht="15.5" x14ac:dyDescent="0.3">
      <c r="A162" s="323" t="s">
        <v>71</v>
      </c>
      <c r="B162" s="178" t="s">
        <v>21</v>
      </c>
      <c r="C162" s="179">
        <v>60</v>
      </c>
      <c r="D162" s="180">
        <v>50</v>
      </c>
      <c r="E162" s="181" t="s">
        <v>13</v>
      </c>
      <c r="F162" s="182">
        <v>60</v>
      </c>
      <c r="G162" s="183">
        <v>50</v>
      </c>
      <c r="H162" s="184" t="s">
        <v>13</v>
      </c>
      <c r="I162" s="185" t="s">
        <v>17</v>
      </c>
    </row>
    <row r="163" spans="1:9" ht="15.5" x14ac:dyDescent="0.3">
      <c r="A163" s="324" t="s">
        <v>72</v>
      </c>
      <c r="B163" s="324"/>
      <c r="C163" s="325">
        <f>SUM(C143:C162)/20</f>
        <v>51.75</v>
      </c>
      <c r="D163" s="325">
        <f t="shared" ref="D163:I163" si="8">SUM(D143:D162)/20</f>
        <v>49.75</v>
      </c>
      <c r="E163" s="325">
        <f t="shared" si="8"/>
        <v>0</v>
      </c>
      <c r="F163" s="325">
        <f t="shared" si="8"/>
        <v>51.75</v>
      </c>
      <c r="G163" s="325">
        <f t="shared" si="8"/>
        <v>49.75</v>
      </c>
      <c r="H163" s="325">
        <f t="shared" si="8"/>
        <v>0</v>
      </c>
      <c r="I163" s="325">
        <f t="shared" si="8"/>
        <v>0</v>
      </c>
    </row>
  </sheetData>
  <mergeCells count="152">
    <mergeCell ref="A163:B163"/>
    <mergeCell ref="A140:I140"/>
    <mergeCell ref="A141:A142"/>
    <mergeCell ref="B141:B142"/>
    <mergeCell ref="C141:E141"/>
    <mergeCell ref="F141:H141"/>
    <mergeCell ref="I141:I142"/>
    <mergeCell ref="A135:E135"/>
    <mergeCell ref="F135:G135"/>
    <mergeCell ref="A137:G137"/>
    <mergeCell ref="A1:A2"/>
    <mergeCell ref="A109:H109"/>
    <mergeCell ref="A139:I139"/>
    <mergeCell ref="F129:H129"/>
    <mergeCell ref="F130:H130"/>
    <mergeCell ref="F131:H131"/>
    <mergeCell ref="F132:H132"/>
    <mergeCell ref="F133:H133"/>
    <mergeCell ref="F134:H134"/>
    <mergeCell ref="F123:H123"/>
    <mergeCell ref="F124:H124"/>
    <mergeCell ref="F125:H125"/>
    <mergeCell ref="F126:H126"/>
    <mergeCell ref="F127:H127"/>
    <mergeCell ref="F128:H128"/>
    <mergeCell ref="C133:E133"/>
    <mergeCell ref="C134:E134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C127:E127"/>
    <mergeCell ref="C128:E128"/>
    <mergeCell ref="C129:E129"/>
    <mergeCell ref="C130:E130"/>
    <mergeCell ref="C131:E131"/>
    <mergeCell ref="C132:E132"/>
    <mergeCell ref="C121:E121"/>
    <mergeCell ref="C122:E122"/>
    <mergeCell ref="C123:E123"/>
    <mergeCell ref="C125:E125"/>
    <mergeCell ref="C124:E124"/>
    <mergeCell ref="C126:E126"/>
    <mergeCell ref="C115:E115"/>
    <mergeCell ref="C116:E116"/>
    <mergeCell ref="C117:E117"/>
    <mergeCell ref="C118:E118"/>
    <mergeCell ref="C119:E119"/>
    <mergeCell ref="C120:E120"/>
    <mergeCell ref="A112:H112"/>
    <mergeCell ref="A113:A114"/>
    <mergeCell ref="B113:B114"/>
    <mergeCell ref="C113:E114"/>
    <mergeCell ref="F113:H113"/>
    <mergeCell ref="F114:H114"/>
    <mergeCell ref="I101:J101"/>
    <mergeCell ref="I102:J102"/>
    <mergeCell ref="A105:I105"/>
    <mergeCell ref="A106:A107"/>
    <mergeCell ref="B106:C107"/>
    <mergeCell ref="D106:E106"/>
    <mergeCell ref="F106:G106"/>
    <mergeCell ref="H106:I107"/>
    <mergeCell ref="I95:J95"/>
    <mergeCell ref="I96:J96"/>
    <mergeCell ref="I97:J97"/>
    <mergeCell ref="I98:J98"/>
    <mergeCell ref="I99:J99"/>
    <mergeCell ref="I100:J100"/>
    <mergeCell ref="I89:J89"/>
    <mergeCell ref="I90:J90"/>
    <mergeCell ref="I91:J91"/>
    <mergeCell ref="I92:J92"/>
    <mergeCell ref="I93:J93"/>
    <mergeCell ref="I94:J94"/>
    <mergeCell ref="I83:J83"/>
    <mergeCell ref="I84:J84"/>
    <mergeCell ref="I85:J85"/>
    <mergeCell ref="I86:J86"/>
    <mergeCell ref="I87:J87"/>
    <mergeCell ref="I88:J88"/>
    <mergeCell ref="F97:H97"/>
    <mergeCell ref="F98:H98"/>
    <mergeCell ref="F99:H99"/>
    <mergeCell ref="F100:H100"/>
    <mergeCell ref="F101:H101"/>
    <mergeCell ref="F102:H102"/>
    <mergeCell ref="F91:H91"/>
    <mergeCell ref="F92:H92"/>
    <mergeCell ref="F93:H93"/>
    <mergeCell ref="F94:H94"/>
    <mergeCell ref="F95:H95"/>
    <mergeCell ref="F96:H96"/>
    <mergeCell ref="C101:E101"/>
    <mergeCell ref="C102:E102"/>
    <mergeCell ref="F83:H83"/>
    <mergeCell ref="F84:H84"/>
    <mergeCell ref="F85:H85"/>
    <mergeCell ref="F86:H86"/>
    <mergeCell ref="F87:H87"/>
    <mergeCell ref="F88:H88"/>
    <mergeCell ref="F89:H89"/>
    <mergeCell ref="F90:H90"/>
    <mergeCell ref="C95:E95"/>
    <mergeCell ref="C96:E96"/>
    <mergeCell ref="C97:E97"/>
    <mergeCell ref="C98:E98"/>
    <mergeCell ref="C99:E99"/>
    <mergeCell ref="C100:E100"/>
    <mergeCell ref="C89:E89"/>
    <mergeCell ref="C90:E90"/>
    <mergeCell ref="C91:E91"/>
    <mergeCell ref="C92:E92"/>
    <mergeCell ref="C93:E93"/>
    <mergeCell ref="C94:E94"/>
    <mergeCell ref="C83:E83"/>
    <mergeCell ref="C84:E84"/>
    <mergeCell ref="C85:E85"/>
    <mergeCell ref="C86:E86"/>
    <mergeCell ref="C87:E87"/>
    <mergeCell ref="C88:E88"/>
    <mergeCell ref="A80:J80"/>
    <mergeCell ref="A81:A82"/>
    <mergeCell ref="B81:B82"/>
    <mergeCell ref="C81:E82"/>
    <mergeCell ref="F81:H82"/>
    <mergeCell ref="I81:J82"/>
    <mergeCell ref="A55:K55"/>
    <mergeCell ref="A56:A57"/>
    <mergeCell ref="B56:B57"/>
    <mergeCell ref="C56:E56"/>
    <mergeCell ref="F56:H56"/>
    <mergeCell ref="I56:I57"/>
    <mergeCell ref="J56:J57"/>
    <mergeCell ref="K56:K57"/>
    <mergeCell ref="A30:K30"/>
    <mergeCell ref="A31:A32"/>
    <mergeCell ref="B31:B32"/>
    <mergeCell ref="C31:E31"/>
    <mergeCell ref="F31:H31"/>
    <mergeCell ref="I31:I32"/>
    <mergeCell ref="J31:J32"/>
    <mergeCell ref="K31:K32"/>
    <mergeCell ref="B1:B2"/>
    <mergeCell ref="C1:E1"/>
    <mergeCell ref="F1:H1"/>
    <mergeCell ref="I1:I2"/>
    <mergeCell ref="A25:E25"/>
  </mergeCells>
  <phoneticPr fontId="2" type="noConversion"/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i-1</vt:lpstr>
      <vt:lpstr>i-2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ASUS</cp:lastModifiedBy>
  <dcterms:created xsi:type="dcterms:W3CDTF">2021-01-26T09:57:38Z</dcterms:created>
  <dcterms:modified xsi:type="dcterms:W3CDTF">2021-01-27T09:12:36Z</dcterms:modified>
</cp:coreProperties>
</file>